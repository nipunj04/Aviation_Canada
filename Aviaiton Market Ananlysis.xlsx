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ipunjaiswal/Downloads/"/>
    </mc:Choice>
  </mc:AlternateContent>
  <xr:revisionPtr revIDLastSave="0" documentId="13_ncr:1_{4F0DEC22-06A6-E24B-9D1F-C37550E4E051}" xr6:coauthVersionLast="47" xr6:coauthVersionMax="47" xr10:uidLastSave="{00000000-0000-0000-0000-000000000000}"/>
  <bookViews>
    <workbookView xWindow="0" yWindow="660" windowWidth="30240" windowHeight="18980" xr2:uid="{1B049B15-9E65-B540-9E3D-144DD5C8FC15}"/>
  </bookViews>
  <sheets>
    <sheet name="Sheet1" sheetId="1" r:id="rId1"/>
    <sheet name="Sheet6" sheetId="5" r:id="rId2"/>
    <sheet name="Sheet10" sheetId="9" r:id="rId3"/>
  </sheets>
  <calcPr calcId="191029"/>
  <pivotCaches>
    <pivotCache cacheId="0" r:id="rId4"/>
    <pivotCache cacheId="2" r:id="rId5"/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9" l="1" a="1"/>
  <c r="I1" i="9" s="1"/>
  <c r="AL1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3" i="5"/>
  <c r="AK3" i="5"/>
  <c r="AK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3" i="5"/>
  <c r="AC3" i="5"/>
  <c r="AD3" i="5"/>
  <c r="AE3" i="5"/>
  <c r="AF3" i="5"/>
  <c r="AG3" i="5"/>
  <c r="AH3" i="5"/>
  <c r="AI3" i="5"/>
  <c r="AC4" i="5"/>
  <c r="AD4" i="5"/>
  <c r="AE4" i="5"/>
  <c r="AF4" i="5"/>
  <c r="AG4" i="5"/>
  <c r="AH4" i="5"/>
  <c r="AI4" i="5"/>
  <c r="AC5" i="5"/>
  <c r="AD5" i="5"/>
  <c r="AE5" i="5"/>
  <c r="AF5" i="5"/>
  <c r="AG5" i="5"/>
  <c r="AH5" i="5"/>
  <c r="AI5" i="5"/>
  <c r="AC6" i="5"/>
  <c r="AD6" i="5"/>
  <c r="AE6" i="5"/>
  <c r="AF6" i="5"/>
  <c r="AG6" i="5"/>
  <c r="AH6" i="5"/>
  <c r="AI6" i="5"/>
  <c r="AC7" i="5"/>
  <c r="AD7" i="5"/>
  <c r="AE7" i="5"/>
  <c r="AF7" i="5"/>
  <c r="AG7" i="5"/>
  <c r="AH7" i="5"/>
  <c r="AI7" i="5"/>
  <c r="AC8" i="5"/>
  <c r="AD8" i="5"/>
  <c r="AE8" i="5"/>
  <c r="AF8" i="5"/>
  <c r="AG8" i="5"/>
  <c r="AH8" i="5"/>
  <c r="AI8" i="5"/>
  <c r="AC9" i="5"/>
  <c r="AD9" i="5"/>
  <c r="AE9" i="5"/>
  <c r="AF9" i="5"/>
  <c r="AG9" i="5"/>
  <c r="AH9" i="5"/>
  <c r="AI9" i="5"/>
  <c r="AC10" i="5"/>
  <c r="AD10" i="5"/>
  <c r="AE10" i="5"/>
  <c r="AF10" i="5"/>
  <c r="AG10" i="5"/>
  <c r="AH10" i="5"/>
  <c r="AI10" i="5"/>
  <c r="AC11" i="5"/>
  <c r="AD11" i="5"/>
  <c r="AE11" i="5"/>
  <c r="AF11" i="5"/>
  <c r="AG11" i="5"/>
  <c r="AH11" i="5"/>
  <c r="AI11" i="5"/>
  <c r="AC12" i="5"/>
  <c r="AD12" i="5"/>
  <c r="AE12" i="5"/>
  <c r="AF12" i="5"/>
  <c r="AG12" i="5"/>
  <c r="AH12" i="5"/>
  <c r="AI12" i="5"/>
  <c r="AC13" i="5"/>
  <c r="AD13" i="5"/>
  <c r="AE13" i="5"/>
  <c r="AF13" i="5"/>
  <c r="AG13" i="5"/>
  <c r="AH13" i="5"/>
  <c r="AI13" i="5"/>
  <c r="AC14" i="5"/>
  <c r="AD14" i="5"/>
  <c r="AE14" i="5"/>
  <c r="AF14" i="5"/>
  <c r="AG14" i="5"/>
  <c r="AH14" i="5"/>
  <c r="AI14" i="5"/>
  <c r="AC15" i="5"/>
  <c r="AD15" i="5"/>
  <c r="AE15" i="5"/>
  <c r="AF15" i="5"/>
  <c r="AG15" i="5"/>
  <c r="AH15" i="5"/>
  <c r="AI15" i="5"/>
  <c r="AC16" i="5"/>
  <c r="AD16" i="5"/>
  <c r="AE16" i="5"/>
  <c r="AF16" i="5"/>
  <c r="AG16" i="5"/>
  <c r="AH16" i="5"/>
  <c r="AI16" i="5"/>
  <c r="AC17" i="5"/>
  <c r="AD17" i="5"/>
  <c r="AE17" i="5"/>
  <c r="AF17" i="5"/>
  <c r="AG17" i="5"/>
  <c r="AH17" i="5"/>
  <c r="AI17" i="5"/>
  <c r="AC18" i="5"/>
  <c r="AD18" i="5"/>
  <c r="AE18" i="5"/>
  <c r="AF18" i="5"/>
  <c r="AG18" i="5"/>
  <c r="AH18" i="5"/>
  <c r="AI18" i="5"/>
  <c r="AC19" i="5"/>
  <c r="AD19" i="5"/>
  <c r="AE19" i="5"/>
  <c r="AF19" i="5"/>
  <c r="AG19" i="5"/>
  <c r="AH19" i="5"/>
  <c r="AI19" i="5"/>
  <c r="AC20" i="5"/>
  <c r="AD20" i="5"/>
  <c r="AE20" i="5"/>
  <c r="AF20" i="5"/>
  <c r="AG20" i="5"/>
  <c r="AH20" i="5"/>
  <c r="AI20" i="5"/>
  <c r="AC21" i="5"/>
  <c r="AD21" i="5"/>
  <c r="AE21" i="5"/>
  <c r="AF21" i="5"/>
  <c r="AG21" i="5"/>
  <c r="AH21" i="5"/>
  <c r="AI21" i="5"/>
  <c r="AC22" i="5"/>
  <c r="AD22" i="5"/>
  <c r="AE22" i="5"/>
  <c r="AF22" i="5"/>
  <c r="AG22" i="5"/>
  <c r="AH22" i="5"/>
  <c r="AI22" i="5"/>
  <c r="AC23" i="5"/>
  <c r="AD23" i="5"/>
  <c r="AE23" i="5"/>
  <c r="AF23" i="5"/>
  <c r="AG23" i="5"/>
  <c r="AH23" i="5"/>
  <c r="AI23" i="5"/>
  <c r="AC24" i="5"/>
  <c r="AD24" i="5"/>
  <c r="AE24" i="5"/>
  <c r="AF24" i="5"/>
  <c r="AG24" i="5"/>
  <c r="AH24" i="5"/>
  <c r="AI24" i="5"/>
  <c r="AC25" i="5"/>
  <c r="AD25" i="5"/>
  <c r="AE25" i="5"/>
  <c r="AF25" i="5"/>
  <c r="AG25" i="5"/>
  <c r="AH25" i="5"/>
  <c r="AI25" i="5"/>
  <c r="AC26" i="5"/>
  <c r="AD26" i="5"/>
  <c r="AE26" i="5"/>
  <c r="AF26" i="5"/>
  <c r="AG26" i="5"/>
  <c r="AH26" i="5"/>
  <c r="AI26" i="5"/>
  <c r="AC27" i="5"/>
  <c r="AD27" i="5"/>
  <c r="AE27" i="5"/>
  <c r="AF27" i="5"/>
  <c r="AG27" i="5"/>
  <c r="AH27" i="5"/>
  <c r="AI27" i="5"/>
  <c r="AC28" i="5"/>
  <c r="AD28" i="5"/>
  <c r="AE28" i="5"/>
  <c r="AF28" i="5"/>
  <c r="AG28" i="5"/>
  <c r="AH28" i="5"/>
  <c r="AI28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3" i="5"/>
  <c r="AF1" i="5"/>
  <c r="AG1" i="5"/>
  <c r="AH1" i="5"/>
  <c r="AI1" i="5"/>
  <c r="AJ1" i="5"/>
  <c r="AK1" i="5"/>
  <c r="AC1" i="5"/>
  <c r="AD1" i="5"/>
  <c r="AE1" i="5"/>
  <c r="AB1" i="5"/>
  <c r="AA1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" i="5"/>
  <c r="R1" i="5"/>
  <c r="S1" i="5"/>
  <c r="T1" i="5"/>
  <c r="U1" i="5"/>
  <c r="V1" i="5"/>
  <c r="W1" i="5"/>
  <c r="X1" i="5"/>
  <c r="Y1" i="5"/>
  <c r="Z1" i="5"/>
  <c r="Q1" i="5"/>
  <c r="P1" i="5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<sst xmlns="http://schemas.openxmlformats.org/spreadsheetml/2006/main" count="2093" uniqueCount="258">
  <si>
    <t>Common Name </t>
  </si>
  <si>
    <t>Model Name </t>
  </si>
  <si>
    <t>Serial Number </t>
  </si>
  <si>
    <t>Owner </t>
  </si>
  <si>
    <t>Owner Regist. Since </t>
  </si>
  <si>
    <t>C-GLAI</t>
  </si>
  <si>
    <t>Pilatus</t>
  </si>
  <si>
    <t>PC-12/45</t>
  </si>
  <si>
    <t>LEVAERO AVIATION INC.</t>
  </si>
  <si>
    <t>C-FPCI</t>
  </si>
  <si>
    <t>C-GFSB</t>
  </si>
  <si>
    <t>Wasaya Airways Limited Partnership, by its general partner, Wasaya General Partner Limited</t>
  </si>
  <si>
    <t>C-GOHI</t>
  </si>
  <si>
    <t>PC-12/47E</t>
  </si>
  <si>
    <t>1000862630 ONTARIO INC.</t>
  </si>
  <si>
    <t>C-GDUX</t>
  </si>
  <si>
    <t>PC-12/47G</t>
  </si>
  <si>
    <t>Private Air Inc.</t>
  </si>
  <si>
    <t>C-GOFS</t>
  </si>
  <si>
    <t>PC-12/47</t>
  </si>
  <si>
    <t>9215-4400 Québec Inc.</t>
  </si>
  <si>
    <t>C-FYBG</t>
  </si>
  <si>
    <t>Coywolf Aviation Limited</t>
  </si>
  <si>
    <t>C-GJFC</t>
  </si>
  <si>
    <t>Northway Aviation LP by its general partner Northway Aviation GP Inc.</t>
  </si>
  <si>
    <t>C-FRBI</t>
  </si>
  <si>
    <t>C-GBII</t>
  </si>
  <si>
    <t>Aviation Starlink Inc.</t>
  </si>
  <si>
    <t>C-GDBJ</t>
  </si>
  <si>
    <t>True North Airways Inc.</t>
  </si>
  <si>
    <t>C-FHZS</t>
  </si>
  <si>
    <t>Transwest Air Limited Partnership, By Its General Partner Transwest Management Ltd.</t>
  </si>
  <si>
    <t>C-FWKQ</t>
  </si>
  <si>
    <t>North Star Air Ltd.</t>
  </si>
  <si>
    <t>C-GDSH</t>
  </si>
  <si>
    <t>Air Bravo Corp.</t>
  </si>
  <si>
    <t>C-GMRX</t>
  </si>
  <si>
    <t>CHINOOK AIR CHARTERS LTD.</t>
  </si>
  <si>
    <t>C-GECT</t>
  </si>
  <si>
    <t>Cameron Air Service Ltd.</t>
  </si>
  <si>
    <t>C-FMYW</t>
  </si>
  <si>
    <t>C-GNGI</t>
  </si>
  <si>
    <t>1001094041 ONTARIO INC.</t>
  </si>
  <si>
    <t>C-FLWX</t>
  </si>
  <si>
    <t>Chartright Air Inc.</t>
  </si>
  <si>
    <t>C-FJET</t>
  </si>
  <si>
    <t>The Craig Evan Corporation</t>
  </si>
  <si>
    <t>C-FBDT</t>
  </si>
  <si>
    <t>Flightpath Charter Airways Inc.</t>
  </si>
  <si>
    <t>C-GPRY</t>
  </si>
  <si>
    <t>C-FMHJ</t>
  </si>
  <si>
    <t>Mark Anthony Group Inc</t>
  </si>
  <si>
    <t>C-GJMM</t>
  </si>
  <si>
    <t>C-GDTL</t>
  </si>
  <si>
    <t>Panorama Fixed Wings Ltd.</t>
  </si>
  <si>
    <t>C-GFLA</t>
  </si>
  <si>
    <t>C-FEBO</t>
  </si>
  <si>
    <t>C-GBTA</t>
  </si>
  <si>
    <t>10197501 Manitoba LP</t>
  </si>
  <si>
    <t>C-GJVA</t>
  </si>
  <si>
    <t>C-GAWP</t>
  </si>
  <si>
    <t>3097448 Manitoba Ltd.</t>
  </si>
  <si>
    <t>C-FLXR</t>
  </si>
  <si>
    <t>Amik Aviation Ltd.</t>
  </si>
  <si>
    <t>C-GKNW</t>
  </si>
  <si>
    <t>C-GNWX</t>
  </si>
  <si>
    <t>C-GNWZ</t>
  </si>
  <si>
    <t>C-FSCO</t>
  </si>
  <si>
    <t>C-GAPD</t>
  </si>
  <si>
    <t>C-GJRG</t>
  </si>
  <si>
    <t>C-GBAP</t>
  </si>
  <si>
    <t>C-FWAF</t>
  </si>
  <si>
    <t>C-GKAY</t>
  </si>
  <si>
    <t>KEEWATIN AIR LP AS REPRESENTED BY ITS GENERAL PARTNER, KEEWATIN AIR GP INC.</t>
  </si>
  <si>
    <t>C-FTRX</t>
  </si>
  <si>
    <t>C-GKAO</t>
  </si>
  <si>
    <t>C-GMLF</t>
  </si>
  <si>
    <t>C-GKAU</t>
  </si>
  <si>
    <t>C-FHGC</t>
  </si>
  <si>
    <t>Hamilton Jetport Limited</t>
  </si>
  <si>
    <t>C-FOPE</t>
  </si>
  <si>
    <t>Province Of Ontario, Ministry of the Solicitor General</t>
  </si>
  <si>
    <t>C-FALD</t>
  </si>
  <si>
    <t>9394-2985 Québec Inc</t>
  </si>
  <si>
    <t>C-FABN</t>
  </si>
  <si>
    <t>C-GJVM</t>
  </si>
  <si>
    <t>C-GKIX</t>
  </si>
  <si>
    <t>C-GMSX</t>
  </si>
  <si>
    <t>C-FANJ</t>
  </si>
  <si>
    <t>C-GSMJ</t>
  </si>
  <si>
    <t>C-FMAO</t>
  </si>
  <si>
    <t>Airmedic Inc.</t>
  </si>
  <si>
    <t>C-FUAM</t>
  </si>
  <si>
    <t>C-FKPA</t>
  </si>
  <si>
    <t>C-FKGO</t>
  </si>
  <si>
    <t>Kudlik Aviation inc.</t>
  </si>
  <si>
    <t>C-GODE</t>
  </si>
  <si>
    <t>C-FKAB</t>
  </si>
  <si>
    <t>C-FHAB</t>
  </si>
  <si>
    <t>C-GYBX</t>
  </si>
  <si>
    <t>C-GSAG</t>
  </si>
  <si>
    <t>C-GMXD</t>
  </si>
  <si>
    <t>C-GIOX</t>
  </si>
  <si>
    <t>C-GXCR</t>
  </si>
  <si>
    <t>C-FIPN</t>
  </si>
  <si>
    <t>C-FVEK</t>
  </si>
  <si>
    <t>C-FGFL</t>
  </si>
  <si>
    <t>Chrono Aviation inc.</t>
  </si>
  <si>
    <t>C-GJAW</t>
  </si>
  <si>
    <t>Mainline Automotive Group Ltd.</t>
  </si>
  <si>
    <t>C-FYZS</t>
  </si>
  <si>
    <t>C-FYUT</t>
  </si>
  <si>
    <t>C-FYMN</t>
  </si>
  <si>
    <t>C-GXTB</t>
  </si>
  <si>
    <t>C-GTAI</t>
  </si>
  <si>
    <t>Thompson Aviation Inc.</t>
  </si>
  <si>
    <t>C-FPNG</t>
  </si>
  <si>
    <t>GSS Aviation Ltd.</t>
  </si>
  <si>
    <t>C-FWAL</t>
  </si>
  <si>
    <t>C-FYRH</t>
  </si>
  <si>
    <t>C-GBMF</t>
  </si>
  <si>
    <t>C-FPCL</t>
  </si>
  <si>
    <t>1267932 Ontario Incorporated</t>
  </si>
  <si>
    <t>C-GRDC</t>
  </si>
  <si>
    <t>Air Tunilik Inc.</t>
  </si>
  <si>
    <t>C-FPCN</t>
  </si>
  <si>
    <t>C-FXAB</t>
  </si>
  <si>
    <t>C-GNQZ</t>
  </si>
  <si>
    <t>C-GMQZ</t>
  </si>
  <si>
    <t>C-GBJV</t>
  </si>
  <si>
    <t>C-GFKA</t>
  </si>
  <si>
    <t>C-FKPI</t>
  </si>
  <si>
    <t>C-GBTL</t>
  </si>
  <si>
    <t>C-FSFI</t>
  </si>
  <si>
    <t>Northern Aviation Ltd.</t>
  </si>
  <si>
    <t>C-FKPX</t>
  </si>
  <si>
    <t>C-FIPC</t>
  </si>
  <si>
    <t>Soucy Aviation Inc.</t>
  </si>
  <si>
    <t>C-GICR</t>
  </si>
  <si>
    <t>C-GVKC</t>
  </si>
  <si>
    <t>C-FCLB</t>
  </si>
  <si>
    <t>C-FVPK</t>
  </si>
  <si>
    <t>C-FHCE</t>
  </si>
  <si>
    <t>1769856 Ontario Inc.</t>
  </si>
  <si>
    <t>C-GHPF</t>
  </si>
  <si>
    <t>C-FKGE</t>
  </si>
  <si>
    <t>C-GPSQ</t>
  </si>
  <si>
    <t>C-FCVD</t>
  </si>
  <si>
    <t>C-GMPW</t>
  </si>
  <si>
    <t>Government Of Canada, Royal Canadian Mounted Police</t>
  </si>
  <si>
    <t>C-FOPD</t>
  </si>
  <si>
    <t>C-GKUC</t>
  </si>
  <si>
    <t>C-GVDG</t>
  </si>
  <si>
    <t>C-GMPB</t>
  </si>
  <si>
    <t>C-GMPQ</t>
  </si>
  <si>
    <t>C-GWEL</t>
  </si>
  <si>
    <t>GWS Well Servicing Inc.</t>
  </si>
  <si>
    <t>C-GMPA</t>
  </si>
  <si>
    <t>C-GRXR</t>
  </si>
  <si>
    <t>Ornge Global Air Inc.</t>
  </si>
  <si>
    <t>C-GRXO</t>
  </si>
  <si>
    <t>C-GRXN</t>
  </si>
  <si>
    <t>C-FMPA</t>
  </si>
  <si>
    <t>C-GMPO</t>
  </si>
  <si>
    <t>C-GMPV</t>
  </si>
  <si>
    <t>C-GRXM</t>
  </si>
  <si>
    <t>C-GRXH</t>
  </si>
  <si>
    <t>C-FTAB</t>
  </si>
  <si>
    <t>C-FGMQ</t>
  </si>
  <si>
    <t>C-GRXE</t>
  </si>
  <si>
    <t>C-GRXD</t>
  </si>
  <si>
    <t>C-FMPK</t>
  </si>
  <si>
    <t>C-GRXB</t>
  </si>
  <si>
    <t>C-GMPE</t>
  </si>
  <si>
    <t>C-GMPX</t>
  </si>
  <si>
    <t>C-GMPM</t>
  </si>
  <si>
    <t>C-GFLN</t>
  </si>
  <si>
    <t>Les Chantiers de Chibougamau Ltee.</t>
  </si>
  <si>
    <t>C-FMPF</t>
  </si>
  <si>
    <t>C-GMPP</t>
  </si>
  <si>
    <t>C-GMPY</t>
  </si>
  <si>
    <t>C-FMPB</t>
  </si>
  <si>
    <t>Mark</t>
  </si>
  <si>
    <t>Year of registration</t>
  </si>
  <si>
    <t>Row Labels</t>
  </si>
  <si>
    <t>(blank)</t>
  </si>
  <si>
    <t>Grand Total</t>
  </si>
  <si>
    <t>Count of Year of registration</t>
  </si>
  <si>
    <t>Count of Owner </t>
  </si>
  <si>
    <t>Year</t>
  </si>
  <si>
    <t>Aeroplanes</t>
  </si>
  <si>
    <t>Helicopters</t>
  </si>
  <si>
    <t>Gliders</t>
  </si>
  <si>
    <t>Balloons</t>
  </si>
  <si>
    <t>Gyroplanes</t>
  </si>
  <si>
    <t>Airships</t>
  </si>
  <si>
    <t>Ornithopters</t>
  </si>
  <si>
    <t>Sum of Percentage of Aircraft that is Aeroplanes</t>
  </si>
  <si>
    <t>Totals</t>
  </si>
  <si>
    <t>Single Engine</t>
  </si>
  <si>
    <t>Twin Engines</t>
  </si>
  <si>
    <t>Three Engines</t>
  </si>
  <si>
    <t>Four Engines</t>
  </si>
  <si>
    <t>12,500 lbs. (5670 kgs) &amp; Under</t>
  </si>
  <si>
    <t>Over 12,500 lbs.(5670 kgs)</t>
  </si>
  <si>
    <t>Cancel C of R</t>
  </si>
  <si>
    <t>Levaero Aviation Inc.</t>
  </si>
  <si>
    <t>Certficate of Registration</t>
  </si>
  <si>
    <t>C-FGWG</t>
  </si>
  <si>
    <t>C-GNGY</t>
  </si>
  <si>
    <t>C-GPWL</t>
  </si>
  <si>
    <t>C-FMDF</t>
  </si>
  <si>
    <t>C-GDGD</t>
  </si>
  <si>
    <t>C-FKRB</t>
  </si>
  <si>
    <t>Delete Aircraft</t>
  </si>
  <si>
    <t>C-FING</t>
  </si>
  <si>
    <t>C-GSNG</t>
  </si>
  <si>
    <t>C-GBXW</t>
  </si>
  <si>
    <t>C-GPNG</t>
  </si>
  <si>
    <t>Mark </t>
  </si>
  <si>
    <t>Service </t>
  </si>
  <si>
    <t>Date Updated </t>
  </si>
  <si>
    <t>C-FSNC</t>
  </si>
  <si>
    <t>PC-24</t>
  </si>
  <si>
    <t>C-GOGS</t>
  </si>
  <si>
    <t>V. Kelner Pilatus Center Inc.</t>
  </si>
  <si>
    <t>V. Kelner Airways Limited</t>
  </si>
  <si>
    <t>C-GPCO</t>
  </si>
  <si>
    <t>C-GPAI</t>
  </si>
  <si>
    <t>C-GMAE</t>
  </si>
  <si>
    <t>C-GKVT</t>
  </si>
  <si>
    <t>C-GKRY</t>
  </si>
  <si>
    <t>C-GKPL</t>
  </si>
  <si>
    <t>C-GKNR</t>
  </si>
  <si>
    <t>C-GFIL</t>
  </si>
  <si>
    <t>C-FVPC</t>
  </si>
  <si>
    <t>C-FSRK</t>
  </si>
  <si>
    <t>C-FPCZ</t>
  </si>
  <si>
    <t>C-FNAS</t>
  </si>
  <si>
    <t>C-FMPN</t>
  </si>
  <si>
    <t>C-FKVL</t>
  </si>
  <si>
    <t>C-FKUL</t>
  </si>
  <si>
    <t>C-FKSL</t>
  </si>
  <si>
    <t>C-FKGA</t>
  </si>
  <si>
    <t>C-FKAE</t>
  </si>
  <si>
    <t>C-FKAC</t>
  </si>
  <si>
    <t>C-FIJV</t>
  </si>
  <si>
    <t>C-FGRE</t>
  </si>
  <si>
    <t>C-FDLV</t>
  </si>
  <si>
    <t>C-FCJV</t>
  </si>
  <si>
    <t>C-FAXY</t>
  </si>
  <si>
    <t>Pilatus PC-12 Centre Canada Inc.</t>
  </si>
  <si>
    <t>C-GTXV</t>
  </si>
  <si>
    <t>C-GMPZ</t>
  </si>
  <si>
    <t>C-FNGE</t>
  </si>
  <si>
    <t>C-FMPE</t>
  </si>
  <si>
    <t>Average of Growth rate of Aeroplanes</t>
  </si>
  <si>
    <t>Average of Percentage of Aircraft that is Over 12,500 lbs.(5670 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</si>
</sst>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rgb="FF333333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2" fillId="0" borderId="0" xfId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NumberFormat="1"/>
  </cellXfs>
  <cellStyles count="3">
    <cellStyle name="Hyperlink" xfId="1" builtinId="8"/>
    <cellStyle name="Normal" xfId="0" builtinId="0"/>
    <cellStyle name="Normal 2" xfId="2" xr:uid="{6964EA14-8C36-CA49-881A-3458978D8A6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[Aviaiton Market Ananlysis.xlsx]Sheet1!PivotTable1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PC-12's registered by a Canadian</a:t>
            </a:r>
            <a:r>
              <a:rPr lang="en-US" baseline="0"/>
              <a:t> company each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Sheet1!$A$136:$A$160</c:f>
              <c:strCache>
                <c:ptCount val="24"/>
                <c:pt idx="0">
                  <c:v>1999</c:v>
                </c:pt>
                <c:pt idx="1">
                  <c:v>2000</c:v>
                </c:pt>
                <c:pt idx="2">
                  <c:v>2003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(blank)</c:v>
                </c:pt>
              </c:strCache>
            </c:strRef>
          </c:cat>
          <c:val>
            <c:numRef>
              <c:f>Sheet1!$B$136:$B$160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9</c:v>
                </c:pt>
                <c:pt idx="15">
                  <c:v>4</c:v>
                </c:pt>
                <c:pt idx="16">
                  <c:v>7</c:v>
                </c:pt>
                <c:pt idx="17">
                  <c:v>11</c:v>
                </c:pt>
                <c:pt idx="18">
                  <c:v>5</c:v>
                </c:pt>
                <c:pt idx="19">
                  <c:v>9</c:v>
                </c:pt>
                <c:pt idx="20">
                  <c:v>15</c:v>
                </c:pt>
                <c:pt idx="21">
                  <c:v>17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D-C244-8297-3A41FCD81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527936"/>
        <c:axId val="1072529856"/>
      </c:barChart>
      <c:catAx>
        <c:axId val="10715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29856"/>
        <c:crosses val="autoZero"/>
        <c:auto val="1"/>
        <c:lblAlgn val="ctr"/>
        <c:lblOffset val="100"/>
        <c:noMultiLvlLbl val="0"/>
      </c:catAx>
      <c:valAx>
        <c:axId val="10725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52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[Aviaiton Market Ananlysis.xlsx]Sheet1!PivotTable2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PC-12's registered per company in Canada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Sheet1!$A$173:$A$215</c:f>
              <c:strCache>
                <c:ptCount val="42"/>
                <c:pt idx="0">
                  <c:v>Government Of Canada, Royal Canadian Mounted Police</c:v>
                </c:pt>
                <c:pt idx="1">
                  <c:v>Air Bravo Corp.</c:v>
                </c:pt>
                <c:pt idx="2">
                  <c:v>North Star Air Ltd.</c:v>
                </c:pt>
                <c:pt idx="3">
                  <c:v>Private Air Inc.</c:v>
                </c:pt>
                <c:pt idx="4">
                  <c:v>Ornge Global Air Inc.</c:v>
                </c:pt>
                <c:pt idx="5">
                  <c:v>Panorama Fixed Wings Ltd.</c:v>
                </c:pt>
                <c:pt idx="6">
                  <c:v>Chrono Aviation inc.</c:v>
                </c:pt>
                <c:pt idx="7">
                  <c:v>Airmedic Inc.</c:v>
                </c:pt>
                <c:pt idx="8">
                  <c:v>9215-4400 Québec Inc.</c:v>
                </c:pt>
                <c:pt idx="9">
                  <c:v>Northway Aviation LP by its general partner Northway Aviation GP Inc.</c:v>
                </c:pt>
                <c:pt idx="10">
                  <c:v>KEEWATIN AIR LP AS REPRESENTED BY ITS GENERAL PARTNER, KEEWATIN AIR GP INC.</c:v>
                </c:pt>
                <c:pt idx="11">
                  <c:v>Kudlik Aviation inc.</c:v>
                </c:pt>
                <c:pt idx="12">
                  <c:v>Wasaya Airways Limited Partnership, by its general partner, Wasaya General Partner Limited</c:v>
                </c:pt>
                <c:pt idx="13">
                  <c:v>Transwest Air Limited Partnership, By Its General Partner Transwest Management Ltd.</c:v>
                </c:pt>
                <c:pt idx="14">
                  <c:v>Province Of Ontario, Ministry of the Solicitor General</c:v>
                </c:pt>
                <c:pt idx="15">
                  <c:v>Air Tunilik Inc.</c:v>
                </c:pt>
                <c:pt idx="16">
                  <c:v>Coywolf Aviation Limited</c:v>
                </c:pt>
                <c:pt idx="17">
                  <c:v>The Craig Evan Corporation</c:v>
                </c:pt>
                <c:pt idx="18">
                  <c:v>True North Airways Inc.</c:v>
                </c:pt>
                <c:pt idx="19">
                  <c:v>1267932 Ontario Incorporated</c:v>
                </c:pt>
                <c:pt idx="20">
                  <c:v>LEVAERO AVIATION INC.</c:v>
                </c:pt>
                <c:pt idx="21">
                  <c:v>Soucy Aviation Inc.</c:v>
                </c:pt>
                <c:pt idx="22">
                  <c:v>1769856 Ontario Inc.</c:v>
                </c:pt>
                <c:pt idx="23">
                  <c:v>GWS Well Servicing Inc.</c:v>
                </c:pt>
                <c:pt idx="24">
                  <c:v>Hamilton Jetport Limited</c:v>
                </c:pt>
                <c:pt idx="25">
                  <c:v>Aviation Starlink Inc.</c:v>
                </c:pt>
                <c:pt idx="26">
                  <c:v>10197501 Manitoba LP</c:v>
                </c:pt>
                <c:pt idx="27">
                  <c:v>Thompson Aviation Inc.</c:v>
                </c:pt>
                <c:pt idx="28">
                  <c:v>9394-2985 Québec Inc</c:v>
                </c:pt>
                <c:pt idx="29">
                  <c:v>Chartright Air Inc.</c:v>
                </c:pt>
                <c:pt idx="30">
                  <c:v>Les Chantiers de Chibougamau Ltee.</c:v>
                </c:pt>
                <c:pt idx="31">
                  <c:v>Amik Aviation Ltd.</c:v>
                </c:pt>
                <c:pt idx="32">
                  <c:v>Cameron Air Service Ltd.</c:v>
                </c:pt>
                <c:pt idx="33">
                  <c:v>Flightpath Charter Airways Inc.</c:v>
                </c:pt>
                <c:pt idx="34">
                  <c:v>Mainline Automotive Group Ltd.</c:v>
                </c:pt>
                <c:pt idx="35">
                  <c:v>CHINOOK AIR CHARTERS LTD.</c:v>
                </c:pt>
                <c:pt idx="36">
                  <c:v>Mark Anthony Group Inc</c:v>
                </c:pt>
                <c:pt idx="37">
                  <c:v>1001094041 ONTARIO INC.</c:v>
                </c:pt>
                <c:pt idx="38">
                  <c:v>3097448 Manitoba Ltd.</c:v>
                </c:pt>
                <c:pt idx="39">
                  <c:v>Northern Aviation Ltd.</c:v>
                </c:pt>
                <c:pt idx="40">
                  <c:v>1000862630 ONTARIO INC.</c:v>
                </c:pt>
                <c:pt idx="41">
                  <c:v>GSS Aviation Ltd.</c:v>
                </c:pt>
              </c:strCache>
            </c:strRef>
          </c:cat>
          <c:val>
            <c:numRef>
              <c:f>Sheet1!$B$173:$B$215</c:f>
              <c:numCache>
                <c:formatCode>General</c:formatCode>
                <c:ptCount val="42"/>
                <c:pt idx="0">
                  <c:v>16</c:v>
                </c:pt>
                <c:pt idx="1">
                  <c:v>14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B-6644-823C-645DEBF85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2435968"/>
        <c:axId val="514872576"/>
      </c:barChart>
      <c:catAx>
        <c:axId val="32243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72576"/>
        <c:crosses val="autoZero"/>
        <c:auto val="1"/>
        <c:lblAlgn val="ctr"/>
        <c:lblOffset val="100"/>
        <c:noMultiLvlLbl val="0"/>
      </c:catAx>
      <c:valAx>
        <c:axId val="51487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[Aviaiton Market Ananlysis.xlsx]Sheet6!PivotTable13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aircraft that are aeroplanes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Sheet6!$A$32:$A$59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Sheet6!$B$32:$B$59</c:f>
              <c:numCache>
                <c:formatCode>General</c:formatCode>
                <c:ptCount val="27"/>
                <c:pt idx="0">
                  <c:v>89.542553570791881</c:v>
                </c:pt>
                <c:pt idx="1">
                  <c:v>89.427094398413715</c:v>
                </c:pt>
                <c:pt idx="2">
                  <c:v>89.267539395641037</c:v>
                </c:pt>
                <c:pt idx="3">
                  <c:v>89.23601447258558</c:v>
                </c:pt>
                <c:pt idx="4">
                  <c:v>88.973619126133556</c:v>
                </c:pt>
                <c:pt idx="5">
                  <c:v>88.927534274329716</c:v>
                </c:pt>
                <c:pt idx="6">
                  <c:v>88.844068244941141</c:v>
                </c:pt>
                <c:pt idx="7">
                  <c:v>88.696885679283</c:v>
                </c:pt>
                <c:pt idx="8">
                  <c:v>88.424386878253785</c:v>
                </c:pt>
                <c:pt idx="9">
                  <c:v>88.188139556068379</c:v>
                </c:pt>
                <c:pt idx="10">
                  <c:v>88.172844660483705</c:v>
                </c:pt>
                <c:pt idx="11">
                  <c:v>88.128749085588879</c:v>
                </c:pt>
                <c:pt idx="12">
                  <c:v>88.147766618021578</c:v>
                </c:pt>
                <c:pt idx="13">
                  <c:v>88.18514350028137</c:v>
                </c:pt>
                <c:pt idx="14">
                  <c:v>88.086922778424523</c:v>
                </c:pt>
                <c:pt idx="15">
                  <c:v>88.098641887062186</c:v>
                </c:pt>
                <c:pt idx="16">
                  <c:v>88.164105378704718</c:v>
                </c:pt>
                <c:pt idx="17">
                  <c:v>88.203974091557797</c:v>
                </c:pt>
                <c:pt idx="18">
                  <c:v>88.242049711520053</c:v>
                </c:pt>
                <c:pt idx="19">
                  <c:v>88.26158038147139</c:v>
                </c:pt>
                <c:pt idx="20">
                  <c:v>88.304252259097453</c:v>
                </c:pt>
                <c:pt idx="21">
                  <c:v>88.240718140644915</c:v>
                </c:pt>
                <c:pt idx="22">
                  <c:v>88.284078016100281</c:v>
                </c:pt>
                <c:pt idx="23">
                  <c:v>88.167826157028117</c:v>
                </c:pt>
                <c:pt idx="24">
                  <c:v>88.092182654261578</c:v>
                </c:pt>
                <c:pt idx="25">
                  <c:v>87.99648365699673</c:v>
                </c:pt>
                <c:pt idx="26">
                  <c:v>87.847240665002388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FB-C545-A411-8E4BF875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607040"/>
        <c:axId val="1035605696"/>
      </c:barChart>
      <c:catAx>
        <c:axId val="103560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05696"/>
        <c:crosses val="autoZero"/>
        <c:auto val="1"/>
        <c:lblAlgn val="ctr"/>
        <c:lblOffset val="100"/>
        <c:noMultiLvlLbl val="0"/>
      </c:catAx>
      <c:valAx>
        <c:axId val="10356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0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[Aviaiton Market Ananlysis.xlsx]Sheet6!PivotTable14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rate of number of aeroplanes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Sheet6!$A$66:$A$93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Sheet6!$B$66:$B$93</c:f>
              <c:numCache>
                <c:formatCode>General</c:formatCode>
                <c:ptCount val="27"/>
                <c:pt idx="1">
                  <c:v>0.56542167715218605</c:v>
                </c:pt>
                <c:pt idx="2">
                  <c:v>0.70874247703515991</c:v>
                </c:pt>
                <c:pt idx="3">
                  <c:v>0.84529192058187541</c:v>
                </c:pt>
                <c:pt idx="4">
                  <c:v>0.98245614035087714</c:v>
                </c:pt>
                <c:pt idx="5">
                  <c:v>1.671685584124778</c:v>
                </c:pt>
                <c:pt idx="6">
                  <c:v>2.0315169925954053</c:v>
                </c:pt>
                <c:pt idx="7">
                  <c:v>2.3892817268328992</c:v>
                </c:pt>
                <c:pt idx="8">
                  <c:v>2.4825530677522534</c:v>
                </c:pt>
                <c:pt idx="9">
                  <c:v>3.007625465508069</c:v>
                </c:pt>
                <c:pt idx="10">
                  <c:v>1.8042213269978997</c:v>
                </c:pt>
                <c:pt idx="11">
                  <c:v>1.8635641086346264</c:v>
                </c:pt>
                <c:pt idx="12">
                  <c:v>2.2810279567036322</c:v>
                </c:pt>
                <c:pt idx="13">
                  <c:v>1.7399772764161663</c:v>
                </c:pt>
                <c:pt idx="14">
                  <c:v>1.4007211001563447</c:v>
                </c:pt>
                <c:pt idx="15">
                  <c:v>0.83385777218376333</c:v>
                </c:pt>
                <c:pt idx="16">
                  <c:v>0.25589015447027619</c:v>
                </c:pt>
                <c:pt idx="17">
                  <c:v>3.4239113518224548E-2</c:v>
                </c:pt>
                <c:pt idx="18">
                  <c:v>0.4138403136473956</c:v>
                </c:pt>
                <c:pt idx="19">
                  <c:v>0.37494964519227791</c:v>
                </c:pt>
                <c:pt idx="20">
                  <c:v>0.45999012101753517</c:v>
                </c:pt>
                <c:pt idx="21">
                  <c:v>-1.2292185243231616E-2</c:v>
                </c:pt>
                <c:pt idx="22">
                  <c:v>0.4425730706580201</c:v>
                </c:pt>
                <c:pt idx="23">
                  <c:v>0.43756311006395154</c:v>
                </c:pt>
                <c:pt idx="24">
                  <c:v>0.3838654642944187</c:v>
                </c:pt>
                <c:pt idx="25">
                  <c:v>0.25189681335356601</c:v>
                </c:pt>
                <c:pt idx="26">
                  <c:v>0.13622740895468169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0-8C43-83A8-C3FA7D3A0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334400"/>
        <c:axId val="1077336192"/>
      </c:barChart>
      <c:catAx>
        <c:axId val="107733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36192"/>
        <c:crosses val="autoZero"/>
        <c:auto val="1"/>
        <c:lblAlgn val="ctr"/>
        <c:lblOffset val="100"/>
        <c:noMultiLvlLbl val="0"/>
      </c:catAx>
      <c:valAx>
        <c:axId val="10773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3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[Aviaiton Market Ananlysis.xlsx]Sheet6!PivotTable15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aircrafts that are over 12,500 lbs(5670 kgs)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Sheet6!$B$97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Sheet6!$A$98:$A$125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Sheet6!$B$98:$B$125</c:f>
              <c:numCache>
                <c:formatCode>General</c:formatCode>
                <c:ptCount val="27"/>
                <c:pt idx="0">
                  <c:v>4.5067208614112024</c:v>
                </c:pt>
                <c:pt idx="1">
                  <c:v>4.673889951136605</c:v>
                </c:pt>
                <c:pt idx="2">
                  <c:v>4.6397360755273223</c:v>
                </c:pt>
                <c:pt idx="3">
                  <c:v>4.7662120790425826</c:v>
                </c:pt>
                <c:pt idx="4">
                  <c:v>4.6716130805166252</c:v>
                </c:pt>
                <c:pt idx="5">
                  <c:v>4.8895792530559872</c:v>
                </c:pt>
                <c:pt idx="6">
                  <c:v>4.9563549795000661</c:v>
                </c:pt>
                <c:pt idx="7">
                  <c:v>5.1453994454832674</c:v>
                </c:pt>
                <c:pt idx="8">
                  <c:v>5.2154550586464277</c:v>
                </c:pt>
                <c:pt idx="9">
                  <c:v>5.4018765372119155</c:v>
                </c:pt>
                <c:pt idx="10">
                  <c:v>5.4394178868577221</c:v>
                </c:pt>
                <c:pt idx="11">
                  <c:v>5.3986832479882958</c:v>
                </c:pt>
                <c:pt idx="12">
                  <c:v>5.6113543365668015</c:v>
                </c:pt>
                <c:pt idx="13">
                  <c:v>5.5627462014631401</c:v>
                </c:pt>
                <c:pt idx="14">
                  <c:v>5.6211541659737234</c:v>
                </c:pt>
                <c:pt idx="15">
                  <c:v>5.6743828009017427</c:v>
                </c:pt>
                <c:pt idx="16">
                  <c:v>5.7107574094401761</c:v>
                </c:pt>
                <c:pt idx="17">
                  <c:v>5.711384345153145</c:v>
                </c:pt>
                <c:pt idx="18">
                  <c:v>5.7805364906619996</c:v>
                </c:pt>
                <c:pt idx="19">
                  <c:v>5.784741144414169</c:v>
                </c:pt>
                <c:pt idx="20">
                  <c:v>5.9699872459363386</c:v>
                </c:pt>
                <c:pt idx="21">
                  <c:v>5.8525208146882539</c:v>
                </c:pt>
                <c:pt idx="22">
                  <c:v>5.8539089091793182</c:v>
                </c:pt>
                <c:pt idx="23">
                  <c:v>5.9926401461226462</c:v>
                </c:pt>
                <c:pt idx="24">
                  <c:v>6.226606780023527</c:v>
                </c:pt>
                <c:pt idx="25">
                  <c:v>6.3320813021124698</c:v>
                </c:pt>
                <c:pt idx="26">
                  <c:v>6.3897593881128163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D-B941-AD44-10B7E3E6D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049216"/>
        <c:axId val="1077550080"/>
      </c:lineChart>
      <c:catAx>
        <c:axId val="107804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50080"/>
        <c:crosses val="autoZero"/>
        <c:auto val="1"/>
        <c:lblAlgn val="ctr"/>
        <c:lblOffset val="100"/>
        <c:noMultiLvlLbl val="0"/>
      </c:catAx>
      <c:valAx>
        <c:axId val="10775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4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57727</xdr:rowOff>
    </xdr:from>
    <xdr:to>
      <xdr:col>4</xdr:col>
      <xdr:colOff>6811818</xdr:colOff>
      <xdr:row>160</xdr:row>
      <xdr:rowOff>183417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35599-7B81-914B-B764-E0BB2EF8F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260350</xdr:colOff>
      <xdr:row>175</xdr:row>
      <xdr:rowOff>165100</xdr:rowOff>
    </xdr:from>
    <xdr:to>
      <xdr:col>4</xdr:col>
      <xdr:colOff>7112000</xdr:colOff>
      <xdr:row>214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DA2C4-8C12-536B-5453-26882D363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525123</xdr:colOff>
      <xdr:row>31</xdr:row>
      <xdr:rowOff>98174</xdr:rowOff>
    </xdr:from>
    <xdr:to>
      <xdr:col>10</xdr:col>
      <xdr:colOff>1184381</xdr:colOff>
      <xdr:row>54</xdr:row>
      <xdr:rowOff>128426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88C857-0C1E-A51A-FF51-DFCAA50B4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259991</xdr:colOff>
      <xdr:row>67</xdr:row>
      <xdr:rowOff>191936</xdr:rowOff>
    </xdr:from>
    <xdr:to>
      <xdr:col>9</xdr:col>
      <xdr:colOff>754811</xdr:colOff>
      <xdr:row>86</xdr:row>
      <xdr:rowOff>155754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A90A2F-D2A5-96F6-D69A-9932989ED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978748</xdr:colOff>
      <xdr:row>93</xdr:row>
      <xdr:rowOff>57572</xdr:rowOff>
    </xdr:from>
    <xdr:to>
      <xdr:col>8</xdr:col>
      <xdr:colOff>812799</xdr:colOff>
      <xdr:row>116</xdr:row>
      <xdr:rowOff>50799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A177A4-C270-891B-97CB-1FBEFFA84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pun Jaiswal" refreshedDate="46161.63837453704" createdVersion="8" refreshedVersion="8" minRefreshableVersion="3" recordCount="131" xr:uid="{EC8D6919-0657-1C44-B13A-54FD273E425E}">
  <cacheSource type="worksheet">
    <worksheetSource ref="G1:G1048576" sheet="Sheet1"/>
  </cacheSource>
  <cacheFields count="1">
    <cacheField name="Year of registration" numFmtId="0">
      <sharedItems containsString="0" containsBlank="1" containsNumber="1" containsInteger="1" minValue="1999" maxValue="2026" count="24"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3"/>
        <n v="2000"/>
        <n v="19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pun Jaiswal" refreshedDate="46161.93819976852" createdVersion="8" refreshedVersion="8" minRefreshableVersion="3" recordCount="27" xr:uid="{396435B4-F9B7-E141-BE6E-F922EFF84D6B}">
  <cacheSource type="worksheet">
    <worksheetSource ref="A1:AL28" sheet="Sheet6"/>
  </cacheSource>
  <cacheFields count="38">
    <cacheField name="Year" numFmtId="0">
      <sharedItems containsSemiMixedTypes="0" containsString="0" containsNumber="1" containsInteger="1" minValue="1999" maxValue="2025" count="27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Totals" numFmtId="0">
      <sharedItems containsSemiMixedTypes="0" containsString="0" containsNumber="1" containsInteger="1" minValue="28047" maxValue="37654"/>
    </cacheField>
    <cacheField name="Aeroplanes" numFmtId="0">
      <sharedItems containsSemiMixedTypes="0" containsString="0" containsNumber="1" containsInteger="1" minValue="25114" maxValue="33078"/>
    </cacheField>
    <cacheField name="Helicopters" numFmtId="0">
      <sharedItems containsSemiMixedTypes="0" containsString="0" containsNumber="1" containsInteger="1" minValue="1711" maxValue="3109"/>
    </cacheField>
    <cacheField name="Gliders" numFmtId="0">
      <sharedItems containsSemiMixedTypes="0" containsString="0" containsNumber="1" containsInteger="1" minValue="596" maxValue="726"/>
    </cacheField>
    <cacheField name="Gyroplanes" numFmtId="0">
      <sharedItems containsSemiMixedTypes="0" containsString="0" containsNumber="1" containsInteger="1" minValue="181" maxValue="234"/>
    </cacheField>
    <cacheField name="Balloons" numFmtId="0">
      <sharedItems containsSemiMixedTypes="0" containsString="0" containsNumber="1" containsInteger="1" minValue="442" maxValue="526"/>
    </cacheField>
    <cacheField name="Airships" numFmtId="0">
      <sharedItems containsSemiMixedTypes="0" containsString="0" containsNumber="1" containsInteger="1" minValue="0" maxValue="5"/>
    </cacheField>
    <cacheField name="Ornithopters" numFmtId="0">
      <sharedItems containsSemiMixedTypes="0" containsString="0" containsNumber="1" containsInteger="1" minValue="1" maxValue="1"/>
    </cacheField>
    <cacheField name="Single Engine" numFmtId="0">
      <sharedItems containsSemiMixedTypes="0" containsString="0" containsNumber="1" containsInteger="1" minValue="23365" maxValue="31512"/>
    </cacheField>
    <cacheField name="Twin Engines" numFmtId="0">
      <sharedItems containsSemiMixedTypes="0" containsString="0" containsNumber="1" containsInteger="1" minValue="3490" maxValue="4860"/>
    </cacheField>
    <cacheField name="Three Engines" numFmtId="0">
      <sharedItems containsSemiMixedTypes="0" containsString="0" containsNumber="1" containsInteger="1" minValue="30" maxValue="71"/>
    </cacheField>
    <cacheField name="Four Engines" numFmtId="0">
      <sharedItems containsSemiMixedTypes="0" containsString="0" containsNumber="1" containsInteger="1" minValue="69" maxValue="84"/>
    </cacheField>
    <cacheField name="12,500 lbs. (5670 kgs) &amp; Under" numFmtId="0">
      <sharedItems containsSemiMixedTypes="0" containsString="0" containsNumber="1" containsInteger="1" minValue="26783" maxValue="35248"/>
    </cacheField>
    <cacheField name="Over 12,500 lbs.(5670 kgs)" numFmtId="0">
      <sharedItems containsSemiMixedTypes="0" containsString="0" containsNumber="1" containsInteger="1" minValue="1264" maxValue="2406"/>
    </cacheField>
    <cacheField name="Percentage of Aircraft that is Aeroplanes" numFmtId="0">
      <sharedItems containsSemiMixedTypes="0" containsString="0" containsNumber="1" minValue="87.847240665002388" maxValue="89.542553570791881"/>
    </cacheField>
    <cacheField name="Percentage of Aircraft that is Helicopters" numFmtId="0">
      <sharedItems containsSemiMixedTypes="0" containsString="0" containsNumber="1" minValue="6.1004742040146898" maxValue="8.2567589100759555"/>
    </cacheField>
    <cacheField name="Percentage of Aircraft that is Gliders" numFmtId="0">
      <sharedItems containsSemiMixedTypes="0" containsString="0" containsNumber="1" minValue="1.8749668029956976" maxValue="2.316471938947795"/>
    </cacheField>
    <cacheField name="Percentage of Aircraft that is Gyroplanes" numFmtId="0">
      <sharedItems containsSemiMixedTypes="0" containsString="0" containsNumber="1" minValue="0.54867754642656164" maxValue="0.66683044958410842"/>
    </cacheField>
    <cacheField name="Percentage of Aircraft that is Balloons" numFmtId="0">
      <sharedItems containsSemiMixedTypes="0" containsString="0" containsNumber="1" minValue="1.3676698054326883" maxValue="1.5898641771663216"/>
    </cacheField>
    <cacheField name="Percentage of Aircraft that is Single Engine" numFmtId="0">
      <sharedItems containsSemiMixedTypes="0" containsString="0" containsNumber="1" minValue="83.205795646992414" maxValue="83.853800853638774"/>
    </cacheField>
    <cacheField name="Percentage of Aircraft that is Twin Engines" numFmtId="0">
      <sharedItems containsSemiMixedTypes="0" containsString="0" containsNumber="1" minValue="12.283594394064304" maxValue="13.142759035110309"/>
    </cacheField>
    <cacheField name="Percentage of Aircraft that is Three Engines" numFmtId="0">
      <sharedItems containsSemiMixedTypes="0" containsString="0" containsNumber="1" minValue="8.0205325633622079E-2" maxValue="0.24958106036296218"/>
    </cacheField>
    <cacheField name="Percentage of Aircraft that is Four Engines" numFmtId="0">
      <sharedItems containsSemiMixedTypes="0" containsString="0" containsNumber="1" minValue="0.19918202581399055" maxValue="0.29949727243555463"/>
    </cacheField>
    <cacheField name="Percentage of Aircraft that is 12,500 lbs. (5670 kgs) &amp; Under" numFmtId="0">
      <sharedItems containsSemiMixedTypes="0" containsString="0" containsNumber="1" minValue="93.610240611887178" maxValue="95.493279138588804"/>
    </cacheField>
    <cacheField name="Percentage of Aircraft that is Over 12,500 lbs.(5670 kgs)" numFmtId="0">
      <sharedItems containsSemiMixedTypes="0" containsString="0" containsNumber="1" minValue="4.5067208614112024" maxValue="6.3897593881128163"/>
    </cacheField>
    <cacheField name="Growth rate of Aeroplanes" numFmtId="0">
      <sharedItems containsString="0" containsBlank="1" containsNumber="1" minValue="-1.2292185243231616E-2" maxValue="3.007625465508069"/>
    </cacheField>
    <cacheField name="Growth rate of Helicopters" numFmtId="0">
      <sharedItems containsString="0" containsBlank="1" containsNumber="1" minValue="-0.62695924764890287" maxValue="8.0707811825636604"/>
    </cacheField>
    <cacheField name="Growth rate of Gliders" numFmtId="0">
      <sharedItems containsString="0" containsBlank="1" containsNumber="1" minValue="-0.84033613445378152" maxValue="9.238249594813615"/>
    </cacheField>
    <cacheField name="Growth rate of Gyroplanes" numFmtId="0">
      <sharedItems containsString="0" containsBlank="1" containsNumber="1" minValue="-1.5151515151515151" maxValue="5.6410256410256414"/>
    </cacheField>
    <cacheField name="Growth rate of Balloons" numFmtId="0">
      <sharedItems containsString="0" containsBlank="1" containsNumber="1" minValue="-1.7307692307692308" maxValue="3.4858387799564272"/>
    </cacheField>
    <cacheField name="Growth rate of Single Engine" numFmtId="0">
      <sharedItems containsString="0" containsBlank="1" containsNumber="1" minValue="0.16134343101745144" maxValue="3.2980287211186914"/>
    </cacheField>
    <cacheField name="Growth rate of Twin Engines" numFmtId="0">
      <sharedItems containsString="0" containsBlank="1" containsNumber="1" minValue="-1.5208333333333333" maxValue="4.3421052631578947"/>
    </cacheField>
    <cacheField name="Growth rate of Three Engines" numFmtId="0">
      <sharedItems containsString="0" containsBlank="1" containsNumber="1" minValue="-26.086956521739129" maxValue="20"/>
    </cacheField>
    <cacheField name="Growth rate of Four Engines" numFmtId="0">
      <sharedItems containsString="0" containsBlank="1" containsNumber="1" minValue="-8.75" maxValue="8.4507042253521121"/>
    </cacheField>
    <cacheField name="Growth rate of 12,500 lbs. (5670 kgs) &amp; Under" numFmtId="0">
      <sharedItems containsString="0" containsBlank="1" containsNumber="1" minValue="-1.1641782356878839E-2" maxValue="3.0804354299705521"/>
    </cacheField>
    <cacheField name="Growth rate of Over 12,500 lbs.(5670 kgs)" numFmtId="0">
      <sharedItems containsString="0" containsBlank="1" containsNumber="1" minValue="-1.9090909090909092" maxValue="6.9753457606734814"/>
    </cacheField>
    <cacheField name="Growth rate of Totals" numFmtId="0">
      <sharedItems containsString="0" containsBlank="1" containsNumber="1" minValue="-1.0976948408342482E-2" maxValue="3.2835727278429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pun Jaiswal" refreshedDate="46162.497607523146" createdVersion="8" refreshedVersion="8" minRefreshableVersion="3" recordCount="130" xr:uid="{CAB1E73B-8210-4A48-9310-C3C2A01AE485}">
  <cacheSource type="worksheet">
    <worksheetSource ref="A1:G131" sheet="Sheet1"/>
  </cacheSource>
  <cacheFields count="7">
    <cacheField name="Mark" numFmtId="0">
      <sharedItems/>
    </cacheField>
    <cacheField name="Common Name " numFmtId="0">
      <sharedItems/>
    </cacheField>
    <cacheField name="Model Name " numFmtId="0">
      <sharedItems/>
    </cacheField>
    <cacheField name="Serial Number " numFmtId="0">
      <sharedItems containsSemiMixedTypes="0" containsString="0" containsNumber="1" containsInteger="1" minValue="159" maxValue="3062"/>
    </cacheField>
    <cacheField name="Owner " numFmtId="0">
      <sharedItems count="42">
        <s v="LEVAERO AVIATION INC."/>
        <s v="Wasaya Airways Limited Partnership, by its general partner, Wasaya General Partner Limited"/>
        <s v="1000862630 ONTARIO INC."/>
        <s v="Private Air Inc."/>
        <s v="9215-4400 Québec Inc."/>
        <s v="Coywolf Aviation Limited"/>
        <s v="Northway Aviation LP by its general partner Northway Aviation GP Inc."/>
        <s v="Aviation Starlink Inc."/>
        <s v="True North Airways Inc."/>
        <s v="Transwest Air Limited Partnership, By Its General Partner Transwest Management Ltd."/>
        <s v="North Star Air Ltd."/>
        <s v="Air Bravo Corp."/>
        <s v="CHINOOK AIR CHARTERS LTD."/>
        <s v="Cameron Air Service Ltd."/>
        <s v="1001094041 ONTARIO INC."/>
        <s v="Chartright Air Inc."/>
        <s v="The Craig Evan Corporation"/>
        <s v="Flightpath Charter Airways Inc."/>
        <s v="Mark Anthony Group Inc"/>
        <s v="Panorama Fixed Wings Ltd."/>
        <s v="10197501 Manitoba LP"/>
        <s v="3097448 Manitoba Ltd."/>
        <s v="Amik Aviation Ltd."/>
        <s v="Airmedic Inc."/>
        <s v="KEEWATIN AIR LP AS REPRESENTED BY ITS GENERAL PARTNER, KEEWATIN AIR GP INC."/>
        <s v="Hamilton Jetport Limited"/>
        <s v="Province Of Ontario, Ministry of the Solicitor General"/>
        <s v="9394-2985 Québec Inc"/>
        <s v="Kudlik Aviation inc."/>
        <s v="Chrono Aviation inc."/>
        <s v="Mainline Automotive Group Ltd."/>
        <s v="Thompson Aviation Inc."/>
        <s v="GSS Aviation Ltd."/>
        <s v="1267932 Ontario Incorporated"/>
        <s v="Air Tunilik Inc."/>
        <s v="Northern Aviation Ltd."/>
        <s v="Soucy Aviation Inc."/>
        <s v="1769856 Ontario Inc."/>
        <s v="Government Of Canada, Royal Canadian Mounted Police"/>
        <s v="GWS Well Servicing Inc."/>
        <s v="Ornge Global Air Inc."/>
        <s v="Les Chantiers de Chibougamau Ltee."/>
      </sharedItems>
    </cacheField>
    <cacheField name="Owner Regist. Since " numFmtId="14">
      <sharedItems containsSemiMixedTypes="0" containsNonDate="0" containsDate="1" containsString="0" minDate="1999-10-21T00:00:00" maxDate="2026-04-18T00:00:00"/>
    </cacheField>
    <cacheField name="Year of registration" numFmtId="0">
      <sharedItems containsSemiMixedTypes="0" containsString="0" containsNumber="1" containsInteger="1" minValue="1999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3"/>
  </r>
  <r>
    <x v="13"/>
  </r>
  <r>
    <x v="13"/>
  </r>
  <r>
    <x v="14"/>
  </r>
  <r>
    <x v="14"/>
  </r>
  <r>
    <x v="14"/>
  </r>
  <r>
    <x v="15"/>
  </r>
  <r>
    <x v="15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9"/>
  </r>
  <r>
    <x v="19"/>
  </r>
  <r>
    <x v="20"/>
  </r>
  <r>
    <x v="21"/>
  </r>
  <r>
    <x v="22"/>
  </r>
  <r>
    <x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28047"/>
    <n v="25114"/>
    <n v="1711"/>
    <n v="596"/>
    <n v="181"/>
    <n v="442"/>
    <n v="2"/>
    <n v="1"/>
    <n v="23365"/>
    <n v="3490"/>
    <n v="70"/>
    <n v="84"/>
    <n v="26783"/>
    <n v="1264"/>
    <n v="89.542553570791881"/>
    <n v="6.1004742040146898"/>
    <n v="2.1250044568046493"/>
    <n v="0.64534531322423072"/>
    <n v="1.5759261240061326"/>
    <n v="83.306592505437308"/>
    <n v="12.443398580953399"/>
    <n v="0.24958106036296218"/>
    <n v="0.29949727243555463"/>
    <n v="95.493279138588804"/>
    <n v="4.5067208614112024"/>
    <m/>
    <m/>
    <m/>
    <m/>
    <m/>
    <m/>
    <m/>
    <m/>
    <m/>
    <m/>
    <m/>
    <m/>
  </r>
  <r>
    <x v="1"/>
    <n v="28242"/>
    <n v="25256"/>
    <n v="1753"/>
    <n v="600"/>
    <n v="186"/>
    <n v="444"/>
    <n v="2"/>
    <n v="1"/>
    <n v="23515"/>
    <n v="3536"/>
    <n v="67"/>
    <n v="80"/>
    <n v="26922"/>
    <n v="1320"/>
    <n v="89.427094398413715"/>
    <n v="6.2070674881382342"/>
    <n v="2.1244954323348204"/>
    <n v="0.65859358402379431"/>
    <n v="1.5721266199277673"/>
    <n v="83.26251681892218"/>
    <n v="12.520359747893208"/>
    <n v="0.23723532327738828"/>
    <n v="0.28326605764464274"/>
    <n v="95.326110048863399"/>
    <n v="4.673889951136605"/>
    <n v="0.56542167715218605"/>
    <n v="2.4547048509643483"/>
    <n v="0.67114093959731547"/>
    <n v="2.7624309392265194"/>
    <n v="0.45248868778280543"/>
    <n v="0.64198587631072113"/>
    <n v="1.3180515759312321"/>
    <n v="-4.2857142857142856"/>
    <n v="-4.7619047619047619"/>
    <n v="0.51898592390695586"/>
    <n v="4.4303797468354427"/>
    <n v="0.69526152529682317"/>
  </r>
  <r>
    <x v="2"/>
    <n v="28493"/>
    <n v="25435"/>
    <n v="1798"/>
    <n v="613"/>
    <n v="190"/>
    <n v="453"/>
    <n v="3"/>
    <n v="1"/>
    <n v="23729"/>
    <n v="3549"/>
    <n v="70"/>
    <n v="80"/>
    <n v="27171"/>
    <n v="1322"/>
    <n v="89.267539395641037"/>
    <n v="6.3103218334327726"/>
    <n v="2.1514056083950446"/>
    <n v="0.66683044958410842"/>
    <n v="1.5898641771663216"/>
    <n v="83.280103885164777"/>
    <n v="12.455690871442108"/>
    <n v="0.24567437616256624"/>
    <n v="0.2807707156143614"/>
    <n v="95.360263924472676"/>
    <n v="4.6397360755273223"/>
    <n v="0.70874247703515991"/>
    <n v="2.5670279520821451"/>
    <n v="2.1666666666666665"/>
    <n v="2.150537634408602"/>
    <n v="2.0270270270270272"/>
    <n v="0.91005741016372532"/>
    <n v="0.36764705882352944"/>
    <n v="4.4776119402985071"/>
    <n v="0"/>
    <n v="0.92489413862268777"/>
    <n v="0.15151515151515152"/>
    <n v="0.88874725586006653"/>
  </r>
  <r>
    <x v="3"/>
    <n v="28744"/>
    <n v="25650"/>
    <n v="1831"/>
    <n v="617"/>
    <n v="189"/>
    <n v="453"/>
    <n v="3"/>
    <n v="1"/>
    <n v="23965"/>
    <n v="3564"/>
    <n v="69"/>
    <n v="73"/>
    <n v="27374"/>
    <n v="1370"/>
    <n v="89.23601447258558"/>
    <n v="6.3700250487058172"/>
    <n v="2.1465349290286668"/>
    <n v="0.65752852769273584"/>
    <n v="1.5759810743111606"/>
    <n v="83.373921514055112"/>
    <n v="12.399109379348733"/>
    <n v="0.24005009741163374"/>
    <n v="0.25396604508767046"/>
    <n v="95.233787920957411"/>
    <n v="4.7662120790425826"/>
    <n v="0.84529192058187541"/>
    <n v="1.835372636262514"/>
    <n v="0.65252854812398042"/>
    <n v="-0.52631578947368418"/>
    <n v="0"/>
    <n v="0.99456361414303174"/>
    <n v="0.42265426880811496"/>
    <n v="-1.4285714285714286"/>
    <n v="-8.75"/>
    <n v="0.74712009127378454"/>
    <n v="3.6308623298033282"/>
    <n v="0.880918120240059"/>
  </r>
  <r>
    <x v="4"/>
    <n v="29112"/>
    <n v="25902"/>
    <n v="1894"/>
    <n v="674"/>
    <n v="188"/>
    <n v="450"/>
    <n v="3"/>
    <n v="1"/>
    <n v="24314"/>
    <n v="3576"/>
    <n v="71"/>
    <n v="74"/>
    <n v="27752"/>
    <n v="1360"/>
    <n v="88.973619126133556"/>
    <n v="6.5059082165430064"/>
    <n v="2.3151964825501512"/>
    <n v="0.64578180818906294"/>
    <n v="1.5457543281121187"/>
    <n v="83.518823852706788"/>
    <n v="12.283594394064304"/>
    <n v="0.24388568287991205"/>
    <n v="0.25419071173399288"/>
    <n v="95.328386919483378"/>
    <n v="4.6716130805166252"/>
    <n v="0.98245614035087714"/>
    <n v="3.4407427635172039"/>
    <n v="9.238249594813615"/>
    <n v="-0.52910052910052907"/>
    <n v="-0.66225165562913912"/>
    <n v="1.4562904235343208"/>
    <n v="0.33670033670033672"/>
    <n v="2.8985507246376812"/>
    <n v="1.3698630136986301"/>
    <n v="1.3808723606341784"/>
    <n v="-0.72992700729927007"/>
    <n v="1.2802671861953798"/>
  </r>
  <r>
    <x v="5"/>
    <n v="29614"/>
    <n v="26335"/>
    <n v="1940"/>
    <n v="686"/>
    <n v="189"/>
    <n v="459"/>
    <n v="4"/>
    <n v="1"/>
    <n v="24685"/>
    <n v="3693"/>
    <n v="68"/>
    <n v="76"/>
    <n v="28166"/>
    <n v="1448"/>
    <n v="88.927534274329716"/>
    <n v="6.5509556290943474"/>
    <n v="2.316471938947795"/>
    <n v="0.63821165664888224"/>
    <n v="1.5499425947187142"/>
    <n v="83.355845208347404"/>
    <n v="12.470453164044033"/>
    <n v="0.22962112514351321"/>
    <n v="0.25663537516039708"/>
    <n v="95.110420746944015"/>
    <n v="4.8895792530559872"/>
    <n v="1.671685584124778"/>
    <n v="2.4287222808870115"/>
    <n v="1.7804154302670623"/>
    <n v="0.53191489361702127"/>
    <n v="2"/>
    <n v="1.5258698692111541"/>
    <n v="3.2718120805369129"/>
    <n v="-4.225352112676056"/>
    <n v="2.7027027027027026"/>
    <n v="1.491784375900836"/>
    <n v="6.4705882352941178"/>
    <n v="1.724374828249519"/>
  </r>
  <r>
    <x v="6"/>
    <n v="30244"/>
    <n v="26870"/>
    <n v="2019"/>
    <n v="683"/>
    <n v="192"/>
    <n v="475"/>
    <n v="4"/>
    <n v="1"/>
    <n v="25208"/>
    <n v="3791"/>
    <n v="67"/>
    <n v="78"/>
    <n v="28745"/>
    <n v="1499"/>
    <n v="88.844068244941141"/>
    <n v="6.6757042719217035"/>
    <n v="2.2582991667768813"/>
    <n v="0.63483666181721998"/>
    <n v="1.5705594498082265"/>
    <n v="83.348763391085839"/>
    <n v="12.534717629943129"/>
    <n v="0.22153154344663403"/>
    <n v="0.25790239386324559"/>
    <n v="95.043645020499937"/>
    <n v="4.9563549795000661"/>
    <n v="2.0315169925954053"/>
    <n v="4.072164948453608"/>
    <n v="-0.43731778425655976"/>
    <n v="1.5873015873015872"/>
    <n v="3.4858387799564272"/>
    <n v="2.1186955641077576"/>
    <n v="2.6536691037097211"/>
    <n v="-1.4705882352941178"/>
    <n v="2.6315789473684212"/>
    <n v="2.0556699566853651"/>
    <n v="3.5220994475138121"/>
    <n v="2.1273721888296078"/>
  </r>
  <r>
    <x v="7"/>
    <n v="31018"/>
    <n v="27512"/>
    <n v="2145"/>
    <n v="687"/>
    <n v="191"/>
    <n v="478"/>
    <n v="4"/>
    <n v="1"/>
    <n v="25824"/>
    <n v="3945"/>
    <n v="58"/>
    <n v="81"/>
    <n v="29422"/>
    <n v="1596"/>
    <n v="88.696885679283"/>
    <n v="6.9153394803017605"/>
    <n v="2.214842994390354"/>
    <n v="0.61577148752337352"/>
    <n v="1.5410406860532595"/>
    <n v="83.254884260751822"/>
    <n v="12.718421561673868"/>
    <n v="0.18698820039976788"/>
    <n v="0.2611386936617448"/>
    <n v="94.854600554516736"/>
    <n v="5.1453994454832674"/>
    <n v="2.3892817268328992"/>
    <n v="6.2407132243684993"/>
    <n v="0.58565153733528552"/>
    <n v="-0.52083333333333337"/>
    <n v="0.63157894736842102"/>
    <n v="2.4436686766105997"/>
    <n v="4.0622527037720921"/>
    <n v="-13.432835820895523"/>
    <n v="3.8461538461538463"/>
    <n v="2.3551922073404072"/>
    <n v="6.4709806537691792"/>
    <n v="2.559185292950668"/>
  </r>
  <r>
    <x v="8"/>
    <n v="31886"/>
    <n v="28195"/>
    <n v="2317"/>
    <n v="695"/>
    <n v="192"/>
    <n v="481"/>
    <n v="5"/>
    <n v="1"/>
    <n v="26531"/>
    <n v="4098"/>
    <n v="58"/>
    <n v="81"/>
    <n v="30223"/>
    <n v="1663"/>
    <n v="88.424386878253785"/>
    <n v="7.266511948817663"/>
    <n v="2.1796399673838049"/>
    <n v="0.60214514206861947"/>
    <n v="1.5084990277864894"/>
    <n v="83.205795646992414"/>
    <n v="12.852035376027096"/>
    <n v="0.18189801166656214"/>
    <n v="0.25402998181019881"/>
    <n v="94.784544941353573"/>
    <n v="5.2154550586464277"/>
    <n v="2.4825530677522534"/>
    <n v="8.0186480186480189"/>
    <n v="1.1644832605531295"/>
    <n v="0.52356020942408377"/>
    <n v="0.62761506276150625"/>
    <n v="2.7377633209417596"/>
    <n v="3.8783269961977185"/>
    <n v="0"/>
    <n v="0"/>
    <n v="2.7224525864998981"/>
    <n v="4.1979949874686717"/>
    <n v="2.7983751370172159"/>
  </r>
  <r>
    <x v="9"/>
    <n v="32933"/>
    <n v="29043"/>
    <n v="2504"/>
    <n v="703"/>
    <n v="191"/>
    <n v="486"/>
    <n v="5"/>
    <n v="1"/>
    <n v="27406"/>
    <n v="4267"/>
    <n v="60"/>
    <n v="74"/>
    <n v="31154"/>
    <n v="1779"/>
    <n v="88.188139556068379"/>
    <n v="7.603315823034646"/>
    <n v="2.1346369902529378"/>
    <n v="0.57996538426502298"/>
    <n v="1.4757234384963411"/>
    <n v="83.21744147207967"/>
    <n v="12.956608872559439"/>
    <n v="0.18218807882670876"/>
    <n v="0.22469863055294081"/>
    <n v="94.598123462788081"/>
    <n v="5.4018765372119155"/>
    <n v="3.007625465508069"/>
    <n v="8.0707811825636604"/>
    <n v="1.1510791366906474"/>
    <n v="-0.52083333333333337"/>
    <n v="1.0395010395010396"/>
    <n v="3.2980287211186914"/>
    <n v="4.1239629087359688"/>
    <n v="3.4482758620689653"/>
    <n v="-8.6419753086419746"/>
    <n v="3.0804354299705521"/>
    <n v="6.9753457606734814"/>
    <n v="3.2835727278429405"/>
  </r>
  <r>
    <x v="10"/>
    <n v="33533"/>
    <n v="29567"/>
    <n v="2576"/>
    <n v="715"/>
    <n v="190"/>
    <n v="479"/>
    <n v="5"/>
    <n v="1"/>
    <n v="27930"/>
    <n v="4353"/>
    <n v="58"/>
    <n v="69"/>
    <n v="31709"/>
    <n v="1824"/>
    <n v="88.172844660483705"/>
    <n v="7.6819849103867828"/>
    <n v="2.1322279545522322"/>
    <n v="0.56660602988101272"/>
    <n v="1.4284436227000268"/>
    <n v="83.291086392508873"/>
    <n v="12.981242358273938"/>
    <n v="0.17296394596367756"/>
    <n v="0.20576745295678883"/>
    <n v="94.560582113142274"/>
    <n v="5.4394178868577221"/>
    <n v="1.8042213269978997"/>
    <n v="2.8753993610223643"/>
    <n v="1.7069701280227596"/>
    <n v="-0.52356020942408377"/>
    <n v="-1.440329218106996"/>
    <n v="1.9119900751660219"/>
    <n v="2.0154675415983125"/>
    <n v="-3.3333333333333335"/>
    <n v="-6.756756756756757"/>
    <n v="1.7814726840855106"/>
    <n v="2.5295109612141653"/>
    <n v="1.8218807882670878"/>
  </r>
  <r>
    <x v="11"/>
    <n v="34175"/>
    <n v="30118"/>
    <n v="2658"/>
    <n v="713"/>
    <n v="194"/>
    <n v="486"/>
    <n v="5"/>
    <n v="1"/>
    <n v="28479"/>
    <n v="4441"/>
    <n v="55"/>
    <n v="71"/>
    <n v="32330"/>
    <n v="1845"/>
    <n v="88.128749085588879"/>
    <n v="7.7776152158010241"/>
    <n v="2.0863204096561816"/>
    <n v="0.5676664228237015"/>
    <n v="1.4220921726408193"/>
    <n v="83.332845647403076"/>
    <n v="12.994879297732261"/>
    <n v="0.16093635698610095"/>
    <n v="0.20775420629114849"/>
    <n v="94.601316752011698"/>
    <n v="5.3986832479882958"/>
    <n v="1.8635641086346264"/>
    <n v="3.1832298136645965"/>
    <n v="-0.27972027972027974"/>
    <n v="2.1052631578947367"/>
    <n v="1.4613778705636744"/>
    <n v="1.9656283566058002"/>
    <n v="2.0215943027796923"/>
    <n v="-5.1724137931034484"/>
    <n v="2.8985507246376812"/>
    <n v="1.9584345138604182"/>
    <n v="1.1513157894736843"/>
    <n v="1.9145319535979484"/>
  </r>
  <r>
    <x v="12"/>
    <n v="34947"/>
    <n v="30805"/>
    <n v="2728"/>
    <n v="720"/>
    <n v="198"/>
    <n v="490"/>
    <n v="5"/>
    <n v="1"/>
    <n v="29079"/>
    <n v="4593"/>
    <n v="55"/>
    <n v="77"/>
    <n v="32986"/>
    <n v="1961"/>
    <n v="88.147766618021578"/>
    <n v="7.8061063896757945"/>
    <n v="2.0602626834921454"/>
    <n v="0.56657223796033995"/>
    <n v="1.4021232151543765"/>
    <n v="83.208859129539022"/>
    <n v="13.142759035110309"/>
    <n v="0.15738117721120554"/>
    <n v="0.22033364809568776"/>
    <n v="94.388645663433195"/>
    <n v="5.6113543365668015"/>
    <n v="2.2810279567036322"/>
    <n v="2.6335590669676447"/>
    <n v="0.98176718092566617"/>
    <n v="2.0618556701030926"/>
    <n v="0.82304526748971196"/>
    <n v="2.1068155482987465"/>
    <n v="3.4226525557306915"/>
    <n v="0"/>
    <n v="8.4507042253521121"/>
    <n v="2.0290751623878749"/>
    <n v="6.2872628726287259"/>
    <n v="2.2589612289685443"/>
  </r>
  <r>
    <x v="13"/>
    <n v="35540"/>
    <n v="31341"/>
    <n v="2776"/>
    <n v="722"/>
    <n v="195"/>
    <n v="500"/>
    <n v="5"/>
    <n v="1"/>
    <n v="29623"/>
    <n v="4629"/>
    <n v="53"/>
    <n v="80"/>
    <n v="33563"/>
    <n v="1977"/>
    <n v="88.18514350028137"/>
    <n v="7.8109172763083849"/>
    <n v="2.031513787281936"/>
    <n v="0.54867754642656164"/>
    <n v="1.4068655036578503"/>
    <n v="83.351153629712996"/>
    <n v="13.024760832864379"/>
    <n v="0.14912774338773213"/>
    <n v="0.22509848058525606"/>
    <n v="94.437253798536858"/>
    <n v="5.5627462014631401"/>
    <n v="1.7399772764161663"/>
    <n v="1.7595307917888563"/>
    <n v="0.27777777777777779"/>
    <n v="-1.5151515151515151"/>
    <n v="2.0408163265306123"/>
    <n v="1.8707658447677018"/>
    <n v="0.78380143696930116"/>
    <n v="-3.6363636363636362"/>
    <n v="3.8961038961038961"/>
    <n v="1.7492269447644455"/>
    <n v="0.81591024987251404"/>
    <n v="1.6968552379317252"/>
  </r>
  <r>
    <x v="14"/>
    <n v="36078"/>
    <n v="31780"/>
    <n v="2849"/>
    <n v="726"/>
    <n v="206"/>
    <n v="511"/>
    <n v="5"/>
    <n v="1"/>
    <n v="30066"/>
    <n v="4560"/>
    <n v="55"/>
    <n v="78"/>
    <n v="34050"/>
    <n v="2028"/>
    <n v="88.086922778424523"/>
    <n v="7.8967792006208768"/>
    <n v="2.0123066688840843"/>
    <n v="0.57098508786518098"/>
    <n v="1.4163756305781916"/>
    <n v="83.336105105604517"/>
    <n v="12.639281556627308"/>
    <n v="0.15244747491546096"/>
    <n v="0.21619823715283551"/>
    <n v="94.378845834026279"/>
    <n v="5.6211541659737234"/>
    <n v="1.4007211001563447"/>
    <n v="2.6296829971181555"/>
    <n v="0.554016620498615"/>
    <n v="5.6410256410256414"/>
    <n v="2.2000000000000002"/>
    <n v="1.4954596090875334"/>
    <n v="-1.4906027219701878"/>
    <n v="3.7735849056603774"/>
    <n v="-2.5"/>
    <n v="1.4510025921401544"/>
    <n v="2.5796661608497722"/>
    <n v="1.5137872819358469"/>
  </r>
  <r>
    <x v="15"/>
    <n v="36374"/>
    <n v="32045"/>
    <n v="2871"/>
    <n v="725"/>
    <n v="214"/>
    <n v="517"/>
    <n v="1"/>
    <n v="1"/>
    <n v="30313"/>
    <n v="4758"/>
    <n v="53"/>
    <n v="77"/>
    <n v="34310"/>
    <n v="2064"/>
    <n v="88.098641887062186"/>
    <n v="7.8930004948589652"/>
    <n v="1.9931819431462032"/>
    <n v="0.58833232528729307"/>
    <n v="1.4213449166987409"/>
    <n v="83.336998955297744"/>
    <n v="13.080771979985704"/>
    <n v="0.14570847308517074"/>
    <n v="0.21168966844449333"/>
    <n v="94.325617199098261"/>
    <n v="5.6743828009017427"/>
    <n v="0.83385777218376333"/>
    <n v="0.77220077220077221"/>
    <n v="-0.13774104683195593"/>
    <n v="3.883495145631068"/>
    <n v="1.1741682974559686"/>
    <n v="0.82152597618572476"/>
    <n v="4.3421052631578947"/>
    <n v="-3.6363636363636362"/>
    <n v="-1.2820512820512822"/>
    <n v="0.76358296622613808"/>
    <n v="1.7751479289940828"/>
    <n v="0.82044459227229893"/>
  </r>
  <r>
    <x v="16"/>
    <n v="36440"/>
    <n v="32127"/>
    <n v="2853"/>
    <n v="721"/>
    <n v="222"/>
    <n v="516"/>
    <n v="0"/>
    <n v="1"/>
    <n v="30370"/>
    <n v="4777"/>
    <n v="47"/>
    <n v="78"/>
    <n v="34359"/>
    <n v="2081"/>
    <n v="88.164105378704718"/>
    <n v="7.8293084522502747"/>
    <n v="1.9785949506037321"/>
    <n v="0.60922063666300763"/>
    <n v="1.41602634467618"/>
    <n v="83.342480790340289"/>
    <n v="13.109220636663007"/>
    <n v="0.12897914379802414"/>
    <n v="0.21405049396267836"/>
    <n v="94.289242590559823"/>
    <n v="5.7107574094401761"/>
    <n v="0.25589015447027619"/>
    <n v="-0.62695924764890287"/>
    <n v="-0.55172413793103448"/>
    <n v="3.7383177570093458"/>
    <n v="-0.19342359767891681"/>
    <n v="0.18803813545343581"/>
    <n v="0.39932744850777635"/>
    <n v="-11.320754716981131"/>
    <n v="1.2987012987012987"/>
    <n v="0.1428155056834742"/>
    <n v="0.8236434108527132"/>
    <n v="0.18144828723813713"/>
  </r>
  <r>
    <x v="17"/>
    <n v="36436"/>
    <n v="32138"/>
    <n v="2836"/>
    <n v="717"/>
    <n v="227"/>
    <n v="517"/>
    <n v="0"/>
    <n v="1"/>
    <n v="30419"/>
    <n v="4725"/>
    <n v="44"/>
    <n v="79"/>
    <n v="34355"/>
    <n v="2081"/>
    <n v="88.203974091557797"/>
    <n v="7.7835108134811728"/>
    <n v="1.9678340103194643"/>
    <n v="0.62301020968273135"/>
    <n v="1.4189263365901856"/>
    <n v="83.486112635854653"/>
    <n v="12.967943791854211"/>
    <n v="0.12075968822044132"/>
    <n v="0.21681853112306509"/>
    <n v="94.288615654846851"/>
    <n v="5.711384345153145"/>
    <n v="3.4239113518224548E-2"/>
    <n v="-0.59586400280406593"/>
    <n v="-0.55478502080443826"/>
    <n v="2.2522522522522523"/>
    <n v="0.19379844961240311"/>
    <n v="0.16134343101745144"/>
    <n v="-1.0885492987230478"/>
    <n v="-6.3829787234042552"/>
    <n v="1.2820512820512822"/>
    <n v="-1.1641782356878839E-2"/>
    <n v="0"/>
    <n v="-1.0976948408342482E-2"/>
  </r>
  <r>
    <x v="18"/>
    <n v="36571"/>
    <n v="32271"/>
    <n v="2830"/>
    <n v="719"/>
    <n v="230"/>
    <n v="520"/>
    <n v="0"/>
    <n v="1"/>
    <n v="30539"/>
    <n v="4737"/>
    <n v="46"/>
    <n v="77"/>
    <n v="34457"/>
    <n v="2114"/>
    <n v="88.242049711520053"/>
    <n v="7.7383719340461017"/>
    <n v="1.9660386645155998"/>
    <n v="0.62891362008148533"/>
    <n v="1.4218916627929234"/>
    <n v="83.506056711602085"/>
    <n v="12.952886166634766"/>
    <n v="0.12578272401629706"/>
    <n v="0.21054934237510595"/>
    <n v="94.219463509337999"/>
    <n v="5.7805364906619996"/>
    <n v="0.4138403136473956"/>
    <n v="-0.21156558533145275"/>
    <n v="0.2789400278940028"/>
    <n v="1.3215859030837005"/>
    <n v="0.58027079303675044"/>
    <n v="0.39449028567671524"/>
    <n v="0.25396825396825395"/>
    <n v="4.5454545454545459"/>
    <n v="-2.5316455696202533"/>
    <n v="0.29690001455392229"/>
    <n v="1.5857760691975011"/>
    <n v="0.37051267976726315"/>
  </r>
  <r>
    <x v="19"/>
    <n v="36700"/>
    <n v="32392"/>
    <n v="2848"/>
    <n v="717"/>
    <n v="231"/>
    <n v="511"/>
    <n v="0"/>
    <n v="1"/>
    <n v="30684"/>
    <n v="4743"/>
    <n v="34"/>
    <n v="77"/>
    <n v="34577"/>
    <n v="2123"/>
    <n v="88.26158038147139"/>
    <n v="7.7602179836512262"/>
    <n v="1.9536784741144415"/>
    <n v="0.6294277929155313"/>
    <n v="1.3923705722070845"/>
    <n v="83.607629427792915"/>
    <n v="12.923705722070844"/>
    <n v="9.264305177111716E-2"/>
    <n v="0.2098092643051771"/>
    <n v="94.21525885558583"/>
    <n v="5.784741144414169"/>
    <n v="0.37494964519227791"/>
    <n v="0.63604240282685509"/>
    <n v="-0.27816411682892905"/>
    <n v="0.43478260869565216"/>
    <n v="-1.7307692307692308"/>
    <n v="0.47480271128720652"/>
    <n v="0.1266624445851805"/>
    <n v="-26.086956521739129"/>
    <n v="0"/>
    <n v="0.34826015033229824"/>
    <n v="0.42573320719016083"/>
    <n v="0.35273850865439832"/>
  </r>
  <r>
    <x v="20"/>
    <n v="36851"/>
    <n v="32541"/>
    <n v="2859"/>
    <n v="715"/>
    <n v="231"/>
    <n v="504"/>
    <n v="0"/>
    <n v="1"/>
    <n v="30788"/>
    <n v="4800"/>
    <n v="33"/>
    <n v="75"/>
    <n v="34651"/>
    <n v="2200"/>
    <n v="88.304252259097453"/>
    <n v="7.7582697891509049"/>
    <n v="1.94024585492931"/>
    <n v="0.62684866082331547"/>
    <n v="1.3676698054326883"/>
    <n v="83.547257876312713"/>
    <n v="13.025426718406557"/>
    <n v="8.954980868904508E-2"/>
    <n v="0.20352229247510245"/>
    <n v="94.030012754063662"/>
    <n v="5.9699872459363386"/>
    <n v="0.45999012101753517"/>
    <n v="0.3862359550561798"/>
    <n v="-0.2789400278940028"/>
    <n v="0"/>
    <n v="-1.3698630136986301"/>
    <n v="0.33893886064398382"/>
    <n v="1.2017710309930423"/>
    <n v="-2.9411764705882355"/>
    <n v="-2.5974025974025974"/>
    <n v="0.21401509674060792"/>
    <n v="3.6269430051813472"/>
    <n v="0.41144414168937332"/>
  </r>
  <r>
    <x v="21"/>
    <n v="36873"/>
    <n v="32537"/>
    <n v="2878"/>
    <n v="716"/>
    <n v="230"/>
    <n v="511"/>
    <n v="0"/>
    <n v="1"/>
    <n v="30878"/>
    <n v="4727"/>
    <n v="33"/>
    <n v="76"/>
    <n v="34715"/>
    <n v="2158"/>
    <n v="88.240718140644915"/>
    <n v="7.805169093916958"/>
    <n v="1.9418002332329889"/>
    <n v="0.62376264475361376"/>
    <n v="1.385837875952594"/>
    <n v="83.741491063922112"/>
    <n v="12.819678355436228"/>
    <n v="8.9496379464648931E-2"/>
    <n v="0.2061128739185854"/>
    <n v="94.147479185311752"/>
    <n v="5.8525208146882539"/>
    <n v="-1.2292185243231616E-2"/>
    <n v="0.66456803077999305"/>
    <n v="0.13986013986013987"/>
    <n v="-0.4329004329004329"/>
    <n v="1.3888888888888888"/>
    <n v="0.29232168377289852"/>
    <n v="-1.5208333333333333"/>
    <n v="0"/>
    <n v="1.3333333333333333"/>
    <n v="0.18469885428991947"/>
    <n v="-1.9090909090909092"/>
    <n v="5.9699872459363382E-2"/>
  </r>
  <r>
    <x v="22"/>
    <n v="37018"/>
    <n v="32681"/>
    <n v="2881"/>
    <n v="714"/>
    <n v="231"/>
    <n v="510"/>
    <n v="0"/>
    <n v="1"/>
    <n v="31041"/>
    <n v="4708"/>
    <n v="32"/>
    <n v="78"/>
    <n v="34851"/>
    <n v="2167"/>
    <n v="88.284078016100281"/>
    <n v="7.7827003079582902"/>
    <n v="1.9287913987789724"/>
    <n v="0.62402074666378515"/>
    <n v="1.3777081419849804"/>
    <n v="83.853800853638774"/>
    <n v="12.718137122480956"/>
    <n v="8.6444432438273267E-2"/>
    <n v="0.21070830406829111"/>
    <n v="94.146091090820676"/>
    <n v="5.8539089091793182"/>
    <n v="0.4425730706580201"/>
    <n v="0.10423905489923559"/>
    <n v="-0.27932960893854747"/>
    <n v="0.43478260869565216"/>
    <n v="-0.19569471624266144"/>
    <n v="0.52788393030636704"/>
    <n v="-0.40194626613073831"/>
    <n v="-3.0303030303030303"/>
    <n v="2.6315789473684212"/>
    <n v="0.39176148638916897"/>
    <n v="0.41705282669138088"/>
    <n v="0.39324166734466953"/>
  </r>
  <r>
    <x v="23"/>
    <n v="37229"/>
    <n v="32824"/>
    <n v="2954"/>
    <n v="708"/>
    <n v="229"/>
    <n v="513"/>
    <n v="0"/>
    <n v="1"/>
    <n v="31201"/>
    <n v="4760"/>
    <n v="32"/>
    <n v="78"/>
    <n v="34998"/>
    <n v="2231"/>
    <n v="88.167826157028117"/>
    <n v="7.9346745816433426"/>
    <n v="1.9017432646592709"/>
    <n v="0.61511187515109189"/>
    <n v="1.377958043460743"/>
    <n v="83.808321469821919"/>
    <n v="12.785731553358941"/>
    <n v="8.5954497837707158E-2"/>
    <n v="0.20951408847941122"/>
    <n v="94.007359853877347"/>
    <n v="5.9926401461226462"/>
    <n v="0.43756311006395154"/>
    <n v="2.5338424158278374"/>
    <n v="-0.84033613445378152"/>
    <n v="-0.86580086580086579"/>
    <n v="0.58823529411764708"/>
    <n v="0.51544731162011537"/>
    <n v="1.1045029736618521"/>
    <n v="0"/>
    <n v="0"/>
    <n v="0.42179564431436689"/>
    <n v="2.9533917858790955"/>
    <n v="0.56999297638986435"/>
  </r>
  <r>
    <x v="24"/>
    <n v="37404"/>
    <n v="32950"/>
    <n v="3001"/>
    <n v="705"/>
    <n v="232"/>
    <n v="515"/>
    <n v="0"/>
    <n v="1"/>
    <n v="31308"/>
    <n v="4828"/>
    <n v="30"/>
    <n v="79"/>
    <n v="35075"/>
    <n v="2329"/>
    <n v="88.092182654261578"/>
    <n v="8.0232060742166613"/>
    <n v="1.8848251523901187"/>
    <n v="0.62025451823334399"/>
    <n v="1.3768580900438456"/>
    <n v="83.702277831247997"/>
    <n v="12.907710405304245"/>
    <n v="8.0205325633622079E-2"/>
    <n v="0.21120735750187145"/>
    <n v="93.773393219976469"/>
    <n v="6.226606780023527"/>
    <n v="0.3838654642944187"/>
    <n v="1.5910629654705484"/>
    <n v="-0.42372881355932202"/>
    <n v="1.3100436681222707"/>
    <n v="0.38986354775828458"/>
    <n v="0.34293772635492453"/>
    <n v="1.4285714285714286"/>
    <n v="-6.25"/>
    <n v="1.2820512820512822"/>
    <n v="0.22001257214697983"/>
    <n v="4.3926490363065893"/>
    <n v="0.47006366004996103"/>
  </r>
  <r>
    <x v="25"/>
    <n v="37539"/>
    <n v="33033"/>
    <n v="3048"/>
    <n v="708"/>
    <n v="231"/>
    <n v="518"/>
    <n v="0"/>
    <n v="1"/>
    <n v="31438"/>
    <n v="4824"/>
    <n v="36"/>
    <n v="76"/>
    <n v="35162"/>
    <n v="2377"/>
    <n v="87.99648365699673"/>
    <n v="8.119555662111404"/>
    <n v="1.8860385199392631"/>
    <n v="0.61536002557340364"/>
    <n v="1.3798982391646022"/>
    <n v="83.74756919470417"/>
    <n v="12.850635339247184"/>
    <n v="9.5900263725725243E-2"/>
    <n v="0.20245611230986441"/>
    <n v="93.667918697887529"/>
    <n v="6.3320813021124698"/>
    <n v="0.25189681335356601"/>
    <n v="1.5661446184605132"/>
    <n v="0.42553191489361702"/>
    <n v="-0.43103448275862066"/>
    <n v="0.58252427184466016"/>
    <n v="0.4152293343554363"/>
    <n v="-8.2850041425020712E-2"/>
    <n v="20"/>
    <n v="-3.7974683544303796"/>
    <n v="0.24803991446899501"/>
    <n v="2.0609703735508802"/>
    <n v="0.36092396535129934"/>
  </r>
  <r>
    <x v="26"/>
    <n v="37654"/>
    <n v="33078"/>
    <n v="3109"/>
    <n v="706"/>
    <n v="234"/>
    <n v="526"/>
    <n v="0"/>
    <n v="1"/>
    <n v="31512"/>
    <n v="4860"/>
    <n v="35"/>
    <n v="75"/>
    <n v="35248"/>
    <n v="2406"/>
    <n v="87.847240665002388"/>
    <n v="8.2567589100759555"/>
    <n v="1.8749668029956976"/>
    <n v="0.62144792053965048"/>
    <n v="1.3969299410421203"/>
    <n v="83.688319966006262"/>
    <n v="12.906995272746588"/>
    <n v="9.2951612046528923E-2"/>
    <n v="0.19918202581399055"/>
    <n v="93.610240611887178"/>
    <n v="6.3897593881128163"/>
    <n v="0.13622740895468169"/>
    <n v="2.0013123359580054"/>
    <n v="-0.2824858757062147"/>
    <n v="1.2987012987012987"/>
    <n v="1.5444015444015444"/>
    <n v="0.23538393027546281"/>
    <n v="0.74626865671641796"/>
    <n v="-2.7777777777777777"/>
    <n v="-1.3157894736842106"/>
    <n v="0.24458221944144246"/>
    <n v="1.2200252419015565"/>
    <n v="0.306348064679400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C-GLAI"/>
    <s v="Pilatus"/>
    <s v="PC-12/45"/>
    <n v="178"/>
    <x v="0"/>
    <d v="2026-04-17T00:00:00"/>
    <n v="2026"/>
  </r>
  <r>
    <s v="C-FPCI"/>
    <s v="Pilatus"/>
    <s v="PC-12/45"/>
    <n v="399"/>
    <x v="0"/>
    <d v="2026-04-17T00:00:00"/>
    <n v="2026"/>
  </r>
  <r>
    <s v="C-GFSB"/>
    <s v="Pilatus"/>
    <s v="PC-12/45"/>
    <n v="522"/>
    <x v="1"/>
    <d v="2026-04-16T00:00:00"/>
    <n v="2026"/>
  </r>
  <r>
    <s v="C-GOHI"/>
    <s v="Pilatus"/>
    <s v="PC-12/47E"/>
    <n v="1297"/>
    <x v="2"/>
    <d v="2026-04-02T00:00:00"/>
    <n v="2026"/>
  </r>
  <r>
    <s v="C-GDUX"/>
    <s v="Pilatus"/>
    <s v="PC-12/47G"/>
    <n v="3062"/>
    <x v="3"/>
    <d v="2026-03-17T00:00:00"/>
    <n v="2026"/>
  </r>
  <r>
    <s v="C-GOFS"/>
    <s v="Pilatus"/>
    <s v="PC-12/47"/>
    <n v="815"/>
    <x v="4"/>
    <d v="2026-03-09T00:00:00"/>
    <n v="2026"/>
  </r>
  <r>
    <s v="C-FYBG"/>
    <s v="Pilatus"/>
    <s v="PC-12/47E"/>
    <n v="2211"/>
    <x v="5"/>
    <d v="2025-12-04T00:00:00"/>
    <n v="2025"/>
  </r>
  <r>
    <s v="C-GJFC"/>
    <s v="Pilatus"/>
    <s v="PC-12/47E"/>
    <n v="1768"/>
    <x v="6"/>
    <d v="2025-10-17T00:00:00"/>
    <n v="2025"/>
  </r>
  <r>
    <s v="C-FRBI"/>
    <s v="Pilatus"/>
    <s v="PC-12/45"/>
    <n v="420"/>
    <x v="1"/>
    <d v="2025-10-01T00:00:00"/>
    <n v="2025"/>
  </r>
  <r>
    <s v="C-GBII"/>
    <s v="Pilatus"/>
    <s v="PC-12/47E"/>
    <n v="2455"/>
    <x v="7"/>
    <d v="2025-09-26T00:00:00"/>
    <n v="2025"/>
  </r>
  <r>
    <s v="C-GDBJ"/>
    <s v="Pilatus"/>
    <s v="PC-12/47E"/>
    <n v="1457"/>
    <x v="8"/>
    <d v="2025-09-12T00:00:00"/>
    <n v="2025"/>
  </r>
  <r>
    <s v="C-FHZS"/>
    <s v="Pilatus"/>
    <s v="PC-12/45"/>
    <n v="529"/>
    <x v="9"/>
    <d v="2025-09-08T00:00:00"/>
    <n v="2025"/>
  </r>
  <r>
    <s v="C-FWKQ"/>
    <s v="Pilatus"/>
    <s v="PC-12/47E"/>
    <n v="1391"/>
    <x v="10"/>
    <d v="2025-06-13T00:00:00"/>
    <n v="2025"/>
  </r>
  <r>
    <s v="C-GDSH"/>
    <s v="Pilatus"/>
    <s v="PC-12/45"/>
    <n v="342"/>
    <x v="11"/>
    <d v="2025-05-07T00:00:00"/>
    <n v="2025"/>
  </r>
  <r>
    <s v="C-GMRX"/>
    <s v="Pilatus"/>
    <s v="PC-12/47E"/>
    <n v="1063"/>
    <x v="12"/>
    <d v="2025-05-02T00:00:00"/>
    <n v="2025"/>
  </r>
  <r>
    <s v="C-GECT"/>
    <s v="Pilatus"/>
    <s v="PC-12/47E"/>
    <n v="1040"/>
    <x v="13"/>
    <d v="2025-04-24T00:00:00"/>
    <n v="2025"/>
  </r>
  <r>
    <s v="C-FMYW"/>
    <s v="Pilatus"/>
    <s v="PC-12/45"/>
    <n v="329"/>
    <x v="11"/>
    <d v="2025-04-09T00:00:00"/>
    <n v="2025"/>
  </r>
  <r>
    <s v="C-GNGI"/>
    <s v="Pilatus"/>
    <s v="PC-12/47E"/>
    <n v="1854"/>
    <x v="14"/>
    <d v="2025-04-02T00:00:00"/>
    <n v="2025"/>
  </r>
  <r>
    <s v="C-FLWX"/>
    <s v="Pilatus"/>
    <s v="PC-12/47E"/>
    <n v="2430"/>
    <x v="15"/>
    <d v="2025-03-25T00:00:00"/>
    <n v="2025"/>
  </r>
  <r>
    <s v="C-FJET"/>
    <s v="Pilatus"/>
    <s v="PC-12/47E"/>
    <n v="1875"/>
    <x v="16"/>
    <d v="2025-03-05T00:00:00"/>
    <n v="2025"/>
  </r>
  <r>
    <s v="C-FBDT"/>
    <s v="Pilatus"/>
    <s v="PC-12/47E"/>
    <n v="2385"/>
    <x v="17"/>
    <d v="2025-02-11T00:00:00"/>
    <n v="2025"/>
  </r>
  <r>
    <s v="C-GPRY"/>
    <s v="Pilatus"/>
    <s v="PC-12/45"/>
    <n v="414"/>
    <x v="9"/>
    <d v="2025-02-05T00:00:00"/>
    <n v="2025"/>
  </r>
  <r>
    <s v="C-FMHJ"/>
    <s v="Pilatus"/>
    <s v="PC-12/47E"/>
    <n v="2411"/>
    <x v="18"/>
    <d v="2025-01-08T00:00:00"/>
    <n v="2025"/>
  </r>
  <r>
    <s v="C-GJMM"/>
    <s v="Pilatus"/>
    <s v="PC-12/47E"/>
    <n v="1340"/>
    <x v="4"/>
    <d v="2024-12-30T00:00:00"/>
    <n v="2024"/>
  </r>
  <r>
    <s v="C-GDTL"/>
    <s v="Pilatus"/>
    <s v="PC-12/47"/>
    <n v="782"/>
    <x v="19"/>
    <d v="2024-10-18T00:00:00"/>
    <n v="2024"/>
  </r>
  <r>
    <s v="C-GFLA"/>
    <s v="Pilatus"/>
    <s v="PC-12/45"/>
    <n v="293"/>
    <x v="1"/>
    <d v="2024-09-12T00:00:00"/>
    <n v="2024"/>
  </r>
  <r>
    <s v="C-FEBO"/>
    <s v="Pilatus"/>
    <s v="PC-12/45"/>
    <n v="357"/>
    <x v="11"/>
    <d v="2024-08-14T00:00:00"/>
    <n v="2024"/>
  </r>
  <r>
    <s v="C-GBTA"/>
    <s v="Pilatus"/>
    <s v="PC-12/47"/>
    <n v="719"/>
    <x v="20"/>
    <d v="2024-08-08T00:00:00"/>
    <n v="2024"/>
  </r>
  <r>
    <s v="C-GJVA"/>
    <s v="Pilatus"/>
    <s v="PC-12/47E"/>
    <n v="1558"/>
    <x v="4"/>
    <d v="2024-06-27T00:00:00"/>
    <n v="2024"/>
  </r>
  <r>
    <s v="C-GAWP"/>
    <s v="Pilatus"/>
    <s v="PC-12/45"/>
    <n v="187"/>
    <x v="21"/>
    <d v="2024-05-30T00:00:00"/>
    <n v="2024"/>
  </r>
  <r>
    <s v="C-FLXR"/>
    <s v="Pilatus"/>
    <s v="PC-12/47"/>
    <n v="817"/>
    <x v="22"/>
    <d v="2024-05-22T00:00:00"/>
    <n v="2024"/>
  </r>
  <r>
    <s v="C-GKNW"/>
    <s v="Pilatus"/>
    <s v="PC-12/47E"/>
    <n v="1145"/>
    <x v="6"/>
    <d v="2024-05-09T00:00:00"/>
    <n v="2024"/>
  </r>
  <r>
    <s v="C-GNWX"/>
    <s v="Pilatus"/>
    <s v="PC-12/47E"/>
    <n v="1083"/>
    <x v="6"/>
    <d v="2024-04-30T00:00:00"/>
    <n v="2024"/>
  </r>
  <r>
    <s v="C-GNWZ"/>
    <s v="Pilatus"/>
    <s v="PC-12/47E"/>
    <n v="1067"/>
    <x v="6"/>
    <d v="2024-04-22T00:00:00"/>
    <n v="2024"/>
  </r>
  <r>
    <s v="C-FSCO"/>
    <s v="Pilatus"/>
    <s v="PC-12/47E"/>
    <n v="2332"/>
    <x v="16"/>
    <d v="2024-04-12T00:00:00"/>
    <n v="2024"/>
  </r>
  <r>
    <s v="C-GAPD"/>
    <s v="Pilatus"/>
    <s v="PC-12/45"/>
    <n v="183"/>
    <x v="10"/>
    <d v="2024-03-22T00:00:00"/>
    <n v="2024"/>
  </r>
  <r>
    <s v="C-GJRG"/>
    <s v="Pilatus"/>
    <s v="PC-12/47E"/>
    <n v="1208"/>
    <x v="23"/>
    <d v="2024-03-15T00:00:00"/>
    <n v="2024"/>
  </r>
  <r>
    <s v="C-GBAP"/>
    <s v="Pilatus"/>
    <s v="PC-12/47E"/>
    <n v="1521"/>
    <x v="5"/>
    <d v="2024-01-17T00:00:00"/>
    <n v="2024"/>
  </r>
  <r>
    <s v="C-FWAF"/>
    <s v="Pilatus"/>
    <s v="PC-12/45"/>
    <n v="464"/>
    <x v="11"/>
    <d v="2023-10-31T00:00:00"/>
    <n v="2023"/>
  </r>
  <r>
    <s v="C-GKAY"/>
    <s v="Pilatus"/>
    <s v="PC-12/47E"/>
    <n v="1821"/>
    <x v="24"/>
    <d v="2023-10-19T00:00:00"/>
    <n v="2023"/>
  </r>
  <r>
    <s v="C-FTRX"/>
    <s v="Pilatus"/>
    <s v="PC-12/47"/>
    <n v="743"/>
    <x v="11"/>
    <d v="2023-09-28T00:00:00"/>
    <n v="2023"/>
  </r>
  <r>
    <s v="C-GKAO"/>
    <s v="Pilatus"/>
    <s v="PC-12/47E"/>
    <n v="1815"/>
    <x v="24"/>
    <d v="2023-09-20T00:00:00"/>
    <n v="2023"/>
  </r>
  <r>
    <s v="C-GMLF"/>
    <s v="Pilatus"/>
    <s v="PC-12/47"/>
    <n v="849"/>
    <x v="19"/>
    <d v="2023-09-14T00:00:00"/>
    <n v="2023"/>
  </r>
  <r>
    <s v="C-GKAU"/>
    <s v="Pilatus"/>
    <s v="PC-12/47E"/>
    <n v="1784"/>
    <x v="24"/>
    <d v="2023-09-01T00:00:00"/>
    <n v="2023"/>
  </r>
  <r>
    <s v="C-FHGC"/>
    <s v="Pilatus"/>
    <s v="PC-12/47E"/>
    <n v="2272"/>
    <x v="25"/>
    <d v="2023-08-15T00:00:00"/>
    <n v="2023"/>
  </r>
  <r>
    <s v="C-FOPE"/>
    <s v="Pilatus"/>
    <s v="PC-12/47E"/>
    <n v="2229"/>
    <x v="26"/>
    <d v="2023-05-15T00:00:00"/>
    <n v="2023"/>
  </r>
  <r>
    <s v="C-FALD"/>
    <s v="Pilatus"/>
    <s v="PC-12/47E"/>
    <n v="1036"/>
    <x v="27"/>
    <d v="2023-05-05T00:00:00"/>
    <n v="2023"/>
  </r>
  <r>
    <s v="C-FABN"/>
    <s v="Pilatus"/>
    <s v="PC-12/45"/>
    <n v="289"/>
    <x v="11"/>
    <d v="2022-10-12T00:00:00"/>
    <n v="2022"/>
  </r>
  <r>
    <s v="C-GJVM"/>
    <s v="Pilatus"/>
    <s v="PC-12/47E"/>
    <n v="1495"/>
    <x v="4"/>
    <d v="2022-05-30T00:00:00"/>
    <n v="2022"/>
  </r>
  <r>
    <s v="C-GKIX"/>
    <s v="Pilatus"/>
    <s v="PC-12/45"/>
    <n v="291"/>
    <x v="24"/>
    <d v="2022-05-17T00:00:00"/>
    <n v="2022"/>
  </r>
  <r>
    <s v="C-GMSX"/>
    <s v="Pilatus"/>
    <s v="PC-12/47E"/>
    <n v="1718"/>
    <x v="3"/>
    <d v="2022-03-18T00:00:00"/>
    <n v="2022"/>
  </r>
  <r>
    <s v="C-FANJ"/>
    <s v="Pilatus"/>
    <s v="PC-12/47E"/>
    <n v="2080"/>
    <x v="3"/>
    <d v="2022-01-04T00:00:00"/>
    <n v="2022"/>
  </r>
  <r>
    <s v="C-GSMJ"/>
    <s v="Pilatus"/>
    <s v="PC-12/47E"/>
    <n v="2138"/>
    <x v="3"/>
    <d v="2021-12-20T00:00:00"/>
    <n v="2021"/>
  </r>
  <r>
    <s v="C-FMAO"/>
    <s v="Pilatus"/>
    <s v="PC-12/47E"/>
    <n v="1360"/>
    <x v="23"/>
    <d v="2021-08-24T00:00:00"/>
    <n v="2021"/>
  </r>
  <r>
    <s v="C-FUAM"/>
    <s v="Pilatus"/>
    <s v="PC-12/47E"/>
    <n v="1366"/>
    <x v="23"/>
    <d v="2021-08-23T00:00:00"/>
    <n v="2021"/>
  </r>
  <r>
    <s v="C-FKPA"/>
    <s v="Pilatus"/>
    <s v="PC-12/45"/>
    <n v="275"/>
    <x v="10"/>
    <d v="2021-08-17T00:00:00"/>
    <n v="2021"/>
  </r>
  <r>
    <s v="C-FKGO"/>
    <s v="Pilatus"/>
    <s v="PC-12/47"/>
    <n v="871"/>
    <x v="28"/>
    <d v="2021-05-04T00:00:00"/>
    <n v="2021"/>
  </r>
  <r>
    <s v="C-GODE"/>
    <s v="Pilatus"/>
    <s v="PC-12/47"/>
    <n v="707"/>
    <x v="19"/>
    <d v="2021-03-24T00:00:00"/>
    <n v="2021"/>
  </r>
  <r>
    <s v="C-FKAB"/>
    <s v="Pilatus"/>
    <s v="PC-12/45"/>
    <n v="634"/>
    <x v="11"/>
    <d v="2021-03-24T00:00:00"/>
    <n v="2021"/>
  </r>
  <r>
    <s v="C-FHAB"/>
    <s v="Pilatus"/>
    <s v="PC-12/47"/>
    <n v="695"/>
    <x v="11"/>
    <d v="2021-03-23T00:00:00"/>
    <n v="2021"/>
  </r>
  <r>
    <s v="C-GYBX"/>
    <s v="Pilatus"/>
    <s v="PC-12/47E"/>
    <n v="1119"/>
    <x v="23"/>
    <d v="2021-03-17T00:00:00"/>
    <n v="2021"/>
  </r>
  <r>
    <s v="C-GSAG"/>
    <s v="Pilatus"/>
    <s v="PC-12/45"/>
    <n v="659"/>
    <x v="4"/>
    <d v="2021-02-18T00:00:00"/>
    <n v="2021"/>
  </r>
  <r>
    <s v="C-GMXD"/>
    <s v="Pilatus"/>
    <s v="PC-12/47E"/>
    <n v="1267"/>
    <x v="23"/>
    <d v="2021-02-15T00:00:00"/>
    <n v="2021"/>
  </r>
  <r>
    <s v="C-GIOX"/>
    <s v="Pilatus"/>
    <s v="PC-12/47E"/>
    <n v="1237"/>
    <x v="23"/>
    <d v="2020-12-29T00:00:00"/>
    <n v="2020"/>
  </r>
  <r>
    <s v="C-GXCR"/>
    <s v="Pilatus"/>
    <s v="PC-12/45"/>
    <n v="193"/>
    <x v="3"/>
    <d v="2020-12-02T00:00:00"/>
    <n v="2020"/>
  </r>
  <r>
    <s v="C-FIPN"/>
    <s v="Pilatus"/>
    <s v="PC-12/47"/>
    <n v="855"/>
    <x v="8"/>
    <d v="2020-11-10T00:00:00"/>
    <n v="2020"/>
  </r>
  <r>
    <s v="C-FVEK"/>
    <s v="Pilatus"/>
    <s v="PC-12/47"/>
    <n v="877"/>
    <x v="10"/>
    <d v="2020-06-17T00:00:00"/>
    <n v="2020"/>
  </r>
  <r>
    <s v="C-FGFL"/>
    <s v="Pilatus"/>
    <s v="PC-12/45"/>
    <n v="339"/>
    <x v="29"/>
    <d v="2020-06-09T00:00:00"/>
    <n v="2020"/>
  </r>
  <r>
    <s v="C-GJAW"/>
    <s v="Pilatus"/>
    <s v="PC-12/47E"/>
    <n v="1144"/>
    <x v="30"/>
    <d v="2020-05-21T00:00:00"/>
    <n v="2020"/>
  </r>
  <r>
    <s v="C-FYZS"/>
    <s v="Pilatus"/>
    <s v="PC-12/45"/>
    <n v="227"/>
    <x v="10"/>
    <d v="2020-01-09T00:00:00"/>
    <n v="2020"/>
  </r>
  <r>
    <s v="C-FYUT"/>
    <s v="Pilatus"/>
    <s v="PC-12/45"/>
    <n v="254"/>
    <x v="19"/>
    <d v="2019-09-27T00:00:00"/>
    <n v="2019"/>
  </r>
  <r>
    <s v="C-FYMN"/>
    <s v="Pilatus"/>
    <s v="PC-12/47"/>
    <n v="869"/>
    <x v="29"/>
    <d v="2019-07-29T00:00:00"/>
    <n v="2019"/>
  </r>
  <r>
    <s v="C-GXTB"/>
    <s v="Pilatus"/>
    <s v="PC-12/47"/>
    <n v="794"/>
    <x v="10"/>
    <d v="2019-07-04T00:00:00"/>
    <n v="2019"/>
  </r>
  <r>
    <s v="C-GTAI"/>
    <s v="Pilatus"/>
    <s v="PC-12/47"/>
    <n v="812"/>
    <x v="31"/>
    <d v="2019-05-16T00:00:00"/>
    <n v="2019"/>
  </r>
  <r>
    <s v="C-FPNG"/>
    <s v="Pilatus"/>
    <s v="PC-12/47E"/>
    <n v="1167"/>
    <x v="32"/>
    <d v="2018-10-23T00:00:00"/>
    <n v="2018"/>
  </r>
  <r>
    <s v="C-FWAL"/>
    <s v="Pilatus"/>
    <s v="PC-12/47"/>
    <n v="776"/>
    <x v="11"/>
    <d v="2018-08-23T00:00:00"/>
    <n v="2018"/>
  </r>
  <r>
    <s v="C-FYRH"/>
    <s v="Pilatus"/>
    <s v="PC-12/47"/>
    <n v="729"/>
    <x v="19"/>
    <d v="2018-07-06T00:00:00"/>
    <n v="2018"/>
  </r>
  <r>
    <s v="C-GBMF"/>
    <s v="Pilatus"/>
    <s v="PC-12/47E"/>
    <n v="1278"/>
    <x v="3"/>
    <d v="2018-06-27T00:00:00"/>
    <n v="2018"/>
  </r>
  <r>
    <s v="C-FPCL"/>
    <s v="Pilatus"/>
    <s v="PC-12/45"/>
    <n v="276"/>
    <x v="33"/>
    <d v="2018-03-20T00:00:00"/>
    <n v="2018"/>
  </r>
  <r>
    <s v="C-GRDC"/>
    <s v="Pilatus"/>
    <s v="PC-12/45"/>
    <n v="214"/>
    <x v="34"/>
    <d v="2018-02-22T00:00:00"/>
    <n v="2018"/>
  </r>
  <r>
    <s v="C-FPCN"/>
    <s v="Pilatus"/>
    <s v="PC-12/45"/>
    <n v="258"/>
    <x v="11"/>
    <d v="2018-02-12T00:00:00"/>
    <n v="2018"/>
  </r>
  <r>
    <s v="C-FXAB"/>
    <s v="Pilatus"/>
    <s v="PC-12/45"/>
    <n v="239"/>
    <x v="11"/>
    <d v="2018-02-12T00:00:00"/>
    <n v="2018"/>
  </r>
  <r>
    <s v="C-GNQZ"/>
    <s v="Pilatus"/>
    <s v="PC-12/47E"/>
    <n v="1309"/>
    <x v="10"/>
    <d v="2018-01-18T00:00:00"/>
    <n v="2018"/>
  </r>
  <r>
    <s v="C-GMQZ"/>
    <s v="Pilatus"/>
    <s v="PC-12/45"/>
    <n v="272"/>
    <x v="29"/>
    <d v="2017-12-29T00:00:00"/>
    <n v="2017"/>
  </r>
  <r>
    <s v="C-GBJV"/>
    <s v="Pilatus"/>
    <s v="PC-12/45"/>
    <n v="237"/>
    <x v="33"/>
    <d v="2017-11-02T00:00:00"/>
    <n v="2017"/>
  </r>
  <r>
    <s v="C-GFKA"/>
    <s v="Pilatus"/>
    <s v="PC-12/45"/>
    <n v="182"/>
    <x v="11"/>
    <d v="2017-10-04T00:00:00"/>
    <n v="2017"/>
  </r>
  <r>
    <s v="C-FKPI"/>
    <s v="Pilatus"/>
    <s v="PC-12/45"/>
    <n v="250"/>
    <x v="11"/>
    <d v="2017-10-04T00:00:00"/>
    <n v="2017"/>
  </r>
  <r>
    <s v="C-GBTL"/>
    <s v="Pilatus"/>
    <s v="PC-12/45"/>
    <n v="159"/>
    <x v="34"/>
    <d v="2017-05-28T00:00:00"/>
    <n v="2017"/>
  </r>
  <r>
    <s v="C-FSFI"/>
    <s v="Pilatus"/>
    <s v="PC-12/47E"/>
    <n v="1618"/>
    <x v="35"/>
    <d v="2016-11-02T00:00:00"/>
    <n v="2016"/>
  </r>
  <r>
    <s v="C-FKPX"/>
    <s v="Pilatus"/>
    <s v="PC-12/45"/>
    <n v="451"/>
    <x v="19"/>
    <d v="2016-09-02T00:00:00"/>
    <n v="2016"/>
  </r>
  <r>
    <s v="C-FIPC"/>
    <s v="Pilatus"/>
    <s v="PC-12/47E"/>
    <n v="1528"/>
    <x v="36"/>
    <d v="2016-03-21T00:00:00"/>
    <n v="2016"/>
  </r>
  <r>
    <s v="C-GICR"/>
    <s v="Pilatus"/>
    <s v="PC-12/45"/>
    <n v="314"/>
    <x v="29"/>
    <d v="2016-01-14T00:00:00"/>
    <n v="2016"/>
  </r>
  <r>
    <s v="C-GVKC"/>
    <s v="Pilatus"/>
    <s v="PC-12/45"/>
    <n v="207"/>
    <x v="10"/>
    <d v="2015-05-06T00:00:00"/>
    <n v="2015"/>
  </r>
  <r>
    <s v="C-FCLB"/>
    <s v="Pilatus"/>
    <s v="PC-12/47"/>
    <n v="834"/>
    <x v="3"/>
    <d v="2015-04-09T00:00:00"/>
    <n v="2015"/>
  </r>
  <r>
    <s v="C-FVPK"/>
    <s v="Pilatus"/>
    <s v="PC-12/45"/>
    <n v="211"/>
    <x v="3"/>
    <d v="2015-04-09T00:00:00"/>
    <n v="2015"/>
  </r>
  <r>
    <s v="C-FHCE"/>
    <s v="Pilatus"/>
    <s v="PC-12/45"/>
    <n v="263"/>
    <x v="37"/>
    <d v="2015-03-05T00:00:00"/>
    <n v="2015"/>
  </r>
  <r>
    <s v="C-GHPF"/>
    <s v="Pilatus"/>
    <s v="PC-12/45"/>
    <n v="308"/>
    <x v="19"/>
    <d v="2014-12-30T00:00:00"/>
    <n v="2014"/>
  </r>
  <r>
    <s v="C-FKGE"/>
    <s v="Pilatus"/>
    <s v="PC-12/47"/>
    <n v="761"/>
    <x v="28"/>
    <d v="2014-07-29T00:00:00"/>
    <n v="2014"/>
  </r>
  <r>
    <s v="C-GPSQ"/>
    <s v="Pilatus"/>
    <s v="PC-12/45"/>
    <n v="612"/>
    <x v="29"/>
    <d v="2014-06-04T00:00:00"/>
    <n v="2014"/>
  </r>
  <r>
    <s v="C-FCVD"/>
    <s v="Pilatus"/>
    <s v="PC-12/45"/>
    <n v="321"/>
    <x v="29"/>
    <d v="2014-06-02T00:00:00"/>
    <n v="2014"/>
  </r>
  <r>
    <s v="C-GMPW"/>
    <s v="Pilatus"/>
    <s v="PC-12/47E"/>
    <n v="1336"/>
    <x v="38"/>
    <d v="2014-01-21T00:00:00"/>
    <n v="2014"/>
  </r>
  <r>
    <s v="C-FOPD"/>
    <s v="Pilatus"/>
    <s v="PC-12/47E"/>
    <n v="1398"/>
    <x v="26"/>
    <d v="2013-12-16T00:00:00"/>
    <n v="2013"/>
  </r>
  <r>
    <s v="C-GKUC"/>
    <s v="Pilatus"/>
    <s v="PC-12/47"/>
    <n v="848"/>
    <x v="28"/>
    <d v="2013-02-19T00:00:00"/>
    <n v="2013"/>
  </r>
  <r>
    <s v="C-GVDG"/>
    <s v="Pilatus"/>
    <s v="PC-12/45"/>
    <n v="331"/>
    <x v="29"/>
    <d v="2013-01-23T00:00:00"/>
    <n v="2013"/>
  </r>
  <r>
    <s v="C-GMPB"/>
    <s v="Pilatus"/>
    <s v="PC-12/47E"/>
    <n v="1304"/>
    <x v="38"/>
    <d v="2012-09-06T00:00:00"/>
    <n v="2012"/>
  </r>
  <r>
    <s v="C-GMPQ"/>
    <s v="Pilatus"/>
    <s v="PC-12/47E"/>
    <n v="1268"/>
    <x v="38"/>
    <d v="2012-06-29T00:00:00"/>
    <n v="2012"/>
  </r>
  <r>
    <s v="C-GWEL"/>
    <s v="Pilatus"/>
    <s v="PC-12/47E"/>
    <n v="1334"/>
    <x v="39"/>
    <d v="2012-04-24T00:00:00"/>
    <n v="2012"/>
  </r>
  <r>
    <s v="C-GMPA"/>
    <s v="Pilatus"/>
    <s v="PC-12/47E"/>
    <n v="1262"/>
    <x v="38"/>
    <d v="2011-05-03T00:00:00"/>
    <n v="2011"/>
  </r>
  <r>
    <s v="C-GRXR"/>
    <s v="Pilatus"/>
    <s v="PC-12/47E"/>
    <n v="1255"/>
    <x v="40"/>
    <d v="2011-01-04T00:00:00"/>
    <n v="2011"/>
  </r>
  <r>
    <s v="C-GRXO"/>
    <s v="Pilatus"/>
    <s v="PC-12/47E"/>
    <n v="1225"/>
    <x v="40"/>
    <d v="2010-12-07T00:00:00"/>
    <n v="2010"/>
  </r>
  <r>
    <s v="C-GRXN"/>
    <s v="Pilatus"/>
    <s v="PC-12/47E"/>
    <n v="1224"/>
    <x v="40"/>
    <d v="2010-11-29T00:00:00"/>
    <n v="2010"/>
  </r>
  <r>
    <s v="C-FMPA"/>
    <s v="Pilatus"/>
    <s v="PC-12/47E"/>
    <n v="1216"/>
    <x v="38"/>
    <d v="2010-10-12T00:00:00"/>
    <n v="2010"/>
  </r>
  <r>
    <s v="C-GMPO"/>
    <s v="Pilatus"/>
    <s v="PC-12/47E"/>
    <n v="1197"/>
    <x v="38"/>
    <d v="2010-08-12T00:00:00"/>
    <n v="2010"/>
  </r>
  <r>
    <s v="C-GMPV"/>
    <s v="Pilatus"/>
    <s v="PC-12/47E"/>
    <n v="1181"/>
    <x v="38"/>
    <d v="2010-03-18T00:00:00"/>
    <n v="2010"/>
  </r>
  <r>
    <s v="C-GRXM"/>
    <s v="Pilatus"/>
    <s v="PC-12/47E"/>
    <n v="1169"/>
    <x v="40"/>
    <d v="2009-10-07T00:00:00"/>
    <n v="2009"/>
  </r>
  <r>
    <s v="C-GRXH"/>
    <s v="Pilatus"/>
    <s v="PC-12/47E"/>
    <n v="1163"/>
    <x v="40"/>
    <d v="2009-09-18T00:00:00"/>
    <n v="2009"/>
  </r>
  <r>
    <s v="C-FTAB"/>
    <s v="Pilatus"/>
    <s v="PC-12/45"/>
    <n v="229"/>
    <x v="11"/>
    <d v="2009-08-06T00:00:00"/>
    <n v="2009"/>
  </r>
  <r>
    <s v="C-FGMQ"/>
    <s v="Pilatus"/>
    <s v="PC-12/47E"/>
    <n v="1107"/>
    <x v="38"/>
    <d v="2009-05-22T00:00:00"/>
    <n v="2009"/>
  </r>
  <r>
    <s v="C-GRXE"/>
    <s v="Pilatus"/>
    <s v="PC-12/47E"/>
    <n v="1117"/>
    <x v="40"/>
    <d v="2009-05-20T00:00:00"/>
    <n v="2009"/>
  </r>
  <r>
    <s v="C-GRXD"/>
    <s v="Pilatus"/>
    <s v="PC-12/47E"/>
    <n v="1106"/>
    <x v="40"/>
    <d v="2009-04-09T00:00:00"/>
    <n v="2009"/>
  </r>
  <r>
    <s v="C-FMPK"/>
    <s v="Pilatus"/>
    <s v="PC-12/47E"/>
    <n v="1092"/>
    <x v="38"/>
    <d v="2009-04-08T00:00:00"/>
    <n v="2009"/>
  </r>
  <r>
    <s v="C-GRXB"/>
    <s v="Pilatus"/>
    <s v="PC-12/47E"/>
    <n v="1094"/>
    <x v="40"/>
    <d v="2009-04-01T00:00:00"/>
    <n v="2009"/>
  </r>
  <r>
    <s v="C-GMPE"/>
    <s v="Pilatus"/>
    <s v="PC-12/47E"/>
    <n v="1073"/>
    <x v="38"/>
    <d v="2008-12-23T00:00:00"/>
    <n v="2008"/>
  </r>
  <r>
    <s v="C-GMPX"/>
    <s v="Pilatus"/>
    <s v="PC-12/47E"/>
    <n v="1017"/>
    <x v="38"/>
    <d v="2008-12-09T00:00:00"/>
    <n v="2008"/>
  </r>
  <r>
    <s v="C-GMPM"/>
    <s v="Pilatus"/>
    <s v="PC-12/47E"/>
    <n v="1011"/>
    <x v="38"/>
    <d v="2008-07-29T00:00:00"/>
    <n v="2008"/>
  </r>
  <r>
    <s v="C-GFLN"/>
    <s v="Pilatus"/>
    <s v="PC-12/47"/>
    <n v="789"/>
    <x v="41"/>
    <d v="2007-10-11T00:00:00"/>
    <n v="2007"/>
  </r>
  <r>
    <s v="C-FMPF"/>
    <s v="Pilatus"/>
    <s v="PC-12/47"/>
    <n v="768"/>
    <x v="38"/>
    <d v="2007-08-13T00:00:00"/>
    <n v="2007"/>
  </r>
  <r>
    <s v="C-GMPP"/>
    <s v="Pilatus"/>
    <s v="PC-12/45"/>
    <n v="374"/>
    <x v="38"/>
    <d v="2003-08-27T00:00:00"/>
    <n v="2003"/>
  </r>
  <r>
    <s v="C-GMPY"/>
    <s v="Pilatus"/>
    <s v="PC-12/45"/>
    <n v="311"/>
    <x v="38"/>
    <d v="2000-12-04T00:00:00"/>
    <n v="2000"/>
  </r>
  <r>
    <s v="C-FMPB"/>
    <s v="Pilatus"/>
    <s v="PC-12/45"/>
    <n v="283"/>
    <x v="38"/>
    <d v="1999-10-21T00:00:00"/>
    <n v="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38530-EAC1-9148-8E12-8F1877DF717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72:B215" firstHeaderRow="1" firstDataRow="1" firstDataCol="1"/>
  <pivotFields count="7">
    <pivotField showAll="0"/>
    <pivotField showAll="0"/>
    <pivotField showAll="0"/>
    <pivotField showAll="0"/>
    <pivotField axis="axisRow" dataField="1" showAll="0" sortType="descending">
      <items count="43">
        <item x="2"/>
        <item x="14"/>
        <item x="20"/>
        <item x="33"/>
        <item x="37"/>
        <item x="21"/>
        <item x="4"/>
        <item x="27"/>
        <item x="11"/>
        <item x="34"/>
        <item x="23"/>
        <item x="22"/>
        <item x="7"/>
        <item x="13"/>
        <item x="15"/>
        <item x="12"/>
        <item x="29"/>
        <item x="5"/>
        <item x="17"/>
        <item x="38"/>
        <item x="32"/>
        <item x="39"/>
        <item x="25"/>
        <item x="24"/>
        <item x="28"/>
        <item x="41"/>
        <item x="0"/>
        <item x="30"/>
        <item x="18"/>
        <item x="10"/>
        <item x="35"/>
        <item x="6"/>
        <item x="40"/>
        <item x="19"/>
        <item x="3"/>
        <item x="26"/>
        <item x="36"/>
        <item x="16"/>
        <item x="31"/>
        <item x="9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</pivotFields>
  <rowFields count="1">
    <field x="4"/>
  </rowFields>
  <rowItems count="43">
    <i>
      <x v="19"/>
    </i>
    <i>
      <x v="8"/>
    </i>
    <i>
      <x v="29"/>
    </i>
    <i>
      <x v="34"/>
    </i>
    <i>
      <x v="32"/>
    </i>
    <i>
      <x v="33"/>
    </i>
    <i>
      <x v="16"/>
    </i>
    <i>
      <x v="10"/>
    </i>
    <i>
      <x v="6"/>
    </i>
    <i>
      <x v="31"/>
    </i>
    <i>
      <x v="23"/>
    </i>
    <i>
      <x v="24"/>
    </i>
    <i>
      <x v="41"/>
    </i>
    <i>
      <x v="39"/>
    </i>
    <i>
      <x v="35"/>
    </i>
    <i>
      <x v="9"/>
    </i>
    <i>
      <x v="17"/>
    </i>
    <i>
      <x v="37"/>
    </i>
    <i>
      <x v="40"/>
    </i>
    <i>
      <x v="3"/>
    </i>
    <i>
      <x v="26"/>
    </i>
    <i>
      <x v="36"/>
    </i>
    <i>
      <x v="4"/>
    </i>
    <i>
      <x v="21"/>
    </i>
    <i>
      <x v="22"/>
    </i>
    <i>
      <x v="12"/>
    </i>
    <i>
      <x v="2"/>
    </i>
    <i>
      <x v="38"/>
    </i>
    <i>
      <x v="7"/>
    </i>
    <i>
      <x v="14"/>
    </i>
    <i>
      <x v="25"/>
    </i>
    <i>
      <x v="11"/>
    </i>
    <i>
      <x v="13"/>
    </i>
    <i>
      <x v="18"/>
    </i>
    <i>
      <x v="27"/>
    </i>
    <i>
      <x v="15"/>
    </i>
    <i>
      <x v="28"/>
    </i>
    <i>
      <x v="1"/>
    </i>
    <i>
      <x v="5"/>
    </i>
    <i>
      <x v="30"/>
    </i>
    <i>
      <x/>
    </i>
    <i>
      <x v="20"/>
    </i>
    <i t="grand">
      <x/>
    </i>
  </rowItems>
  <colItems count="1">
    <i/>
  </colItems>
  <dataFields count="1">
    <dataField name="Count of Owner " fld="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54433-9A64-8242-BA81-232D6F7952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35:B160" firstHeaderRow="1" firstDataRow="1" firstDataCol="1"/>
  <pivotFields count="1">
    <pivotField axis="axisRow" dataField="1" showAll="0">
      <items count="25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3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Year of registratio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3D087-DBA7-3C40-ADFB-A8FCDD18ADC2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5:B93" firstHeaderRow="1" firstDataRow="1" firstDataCol="1"/>
  <pivotFields count="38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Growth rate of Aeroplanes" fld="2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900D9-1ACB-6C42-8B65-34BA0F0D2AFA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1:B59" firstHeaderRow="1" firstDataRow="1" firstDataCol="1"/>
  <pivotFields count="38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Percentage of Aircraft that is Aeroplanes" fld="15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F1BF8-C067-BB4A-BD9B-05AC68284C8A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7:B125" firstHeaderRow="1" firstDataRow="1" firstDataCol="1"/>
  <pivotFields count="38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Percentage of Aircraft that is Over 12,500 lbs.(5670 kgs)" fld="25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apps.tc.gc.ca/Saf-Sec-Sur/2/CCARCS-RIACC/ADet.aspx?id=517608&amp;hs=N&amp;l=" TargetMode="External"/><Relationship Id="rId21" Type="http://schemas.openxmlformats.org/officeDocument/2006/relationships/hyperlink" Target="https://wwwapps.tc.gc.ca/Saf-Sec-Sur/2/CCARCS-RIACC/ADet.aspx?id=539649&amp;hs=N&amp;l=" TargetMode="External"/><Relationship Id="rId42" Type="http://schemas.openxmlformats.org/officeDocument/2006/relationships/hyperlink" Target="https://wwwapps.tc.gc.ca/Saf-Sec-Sur/2/CCARCS-RIACC/ADet.aspx?id=538006&amp;hs=N&amp;l=" TargetMode="External"/><Relationship Id="rId63" Type="http://schemas.openxmlformats.org/officeDocument/2006/relationships/hyperlink" Target="https://wwwapps.tc.gc.ca/Saf-Sec-Sur/2/CCARCS-RIACC/ADet.aspx?id=533234&amp;hs=N&amp;l=" TargetMode="External"/><Relationship Id="rId84" Type="http://schemas.openxmlformats.org/officeDocument/2006/relationships/hyperlink" Target="https://wwwapps.tc.gc.ca/Saf-Sec-Sur/2/CCARCS-RIACC/ADet.aspx?id=27433&amp;hs=N&amp;l=" TargetMode="External"/><Relationship Id="rId16" Type="http://schemas.openxmlformats.org/officeDocument/2006/relationships/hyperlink" Target="https://wwwapps.tc.gc.ca/Saf-Sec-Sur/2/CCARCS-RIACC/ADet.aspx?id=539760&amp;hs=N&amp;l=" TargetMode="External"/><Relationship Id="rId107" Type="http://schemas.openxmlformats.org/officeDocument/2006/relationships/hyperlink" Target="https://wwwapps.tc.gc.ca/Saf-Sec-Sur/2/CCARCS-RIACC/ADet.aspx?id=523561&amp;hs=N&amp;l=" TargetMode="External"/><Relationship Id="rId11" Type="http://schemas.openxmlformats.org/officeDocument/2006/relationships/hyperlink" Target="https://wwwapps.tc.gc.ca/Saf-Sec-Sur/2/CCARCS-RIACC/ADet.aspx?id=540238&amp;hs=N&amp;l=" TargetMode="External"/><Relationship Id="rId32" Type="http://schemas.openxmlformats.org/officeDocument/2006/relationships/hyperlink" Target="https://wwwapps.tc.gc.ca/Saf-Sec-Sur/2/CCARCS-RIACC/ADet.aspx?id=27108&amp;hs=N&amp;l=" TargetMode="External"/><Relationship Id="rId37" Type="http://schemas.openxmlformats.org/officeDocument/2006/relationships/hyperlink" Target="https://wwwapps.tc.gc.ca/Saf-Sec-Sur/2/CCARCS-RIACC/ADet.aspx?id=538567&amp;hs=N&amp;l=" TargetMode="External"/><Relationship Id="rId53" Type="http://schemas.openxmlformats.org/officeDocument/2006/relationships/hyperlink" Target="https://wwwapps.tc.gc.ca/Saf-Sec-Sur/2/CCARCS-RIACC/ADet.aspx?id=530785&amp;hs=N&amp;l=" TargetMode="External"/><Relationship Id="rId58" Type="http://schemas.openxmlformats.org/officeDocument/2006/relationships/hyperlink" Target="https://wwwapps.tc.gc.ca/Saf-Sec-Sur/2/CCARCS-RIACC/ADet.aspx?id=10964&amp;hs=N&amp;l=" TargetMode="External"/><Relationship Id="rId74" Type="http://schemas.openxmlformats.org/officeDocument/2006/relationships/hyperlink" Target="https://wwwapps.tc.gc.ca/Saf-Sec-Sur/2/CCARCS-RIACC/ADet.aspx?id=533321&amp;hs=N&amp;l=" TargetMode="External"/><Relationship Id="rId79" Type="http://schemas.openxmlformats.org/officeDocument/2006/relationships/hyperlink" Target="https://wwwapps.tc.gc.ca/Saf-Sec-Sur/2/CCARCS-RIACC/ADet.aspx?id=531156&amp;hs=N&amp;l=" TargetMode="External"/><Relationship Id="rId102" Type="http://schemas.openxmlformats.org/officeDocument/2006/relationships/hyperlink" Target="https://wwwapps.tc.gc.ca/Saf-Sec-Sur/2/CCARCS-RIACC/ADet.aspx?id=526020&amp;hs=N&amp;l=" TargetMode="External"/><Relationship Id="rId123" Type="http://schemas.openxmlformats.org/officeDocument/2006/relationships/hyperlink" Target="https://wwwapps.tc.gc.ca/Saf-Sec-Sur/2/CCARCS-RIACC/ADet.aspx?id=516698&amp;hs=N&amp;l=" TargetMode="External"/><Relationship Id="rId128" Type="http://schemas.openxmlformats.org/officeDocument/2006/relationships/hyperlink" Target="https://wwwapps.tc.gc.ca/Saf-Sec-Sur/2/CCARCS-RIACC/ADet.aspx?id=511584&amp;hs=N&amp;l=" TargetMode="External"/><Relationship Id="rId5" Type="http://schemas.openxmlformats.org/officeDocument/2006/relationships/hyperlink" Target="https://wwwapps.tc.gc.ca/Saf-Sec-Sur/2/CCARCS-RIACC/ADet.aspx?id=535557&amp;hs=N&amp;l=" TargetMode="External"/><Relationship Id="rId90" Type="http://schemas.openxmlformats.org/officeDocument/2006/relationships/hyperlink" Target="https://wwwapps.tc.gc.ca/Saf-Sec-Sur/2/CCARCS-RIACC/ADet.aspx?id=27071&amp;hs=N&amp;l=" TargetMode="External"/><Relationship Id="rId95" Type="http://schemas.openxmlformats.org/officeDocument/2006/relationships/hyperlink" Target="https://wwwapps.tc.gc.ca/Saf-Sec-Sur/2/CCARCS-RIACC/ADet.aspx?id=27588&amp;hs=N&amp;l=" TargetMode="External"/><Relationship Id="rId22" Type="http://schemas.openxmlformats.org/officeDocument/2006/relationships/hyperlink" Target="https://wwwapps.tc.gc.ca/Saf-Sec-Sur/2/CCARCS-RIACC/ADet.aspx?id=539594&amp;hs=N&amp;l=" TargetMode="External"/><Relationship Id="rId27" Type="http://schemas.openxmlformats.org/officeDocument/2006/relationships/hyperlink" Target="https://wwwapps.tc.gc.ca/Saf-Sec-Sur/2/CCARCS-RIACC/ADet.aspx?id=531145&amp;hs=N&amp;l=" TargetMode="External"/><Relationship Id="rId43" Type="http://schemas.openxmlformats.org/officeDocument/2006/relationships/hyperlink" Target="https://wwwapps.tc.gc.ca/Saf-Sec-Sur/2/CCARCS-RIACC/ADet.aspx?id=537927&amp;hs=N&amp;l=" TargetMode="External"/><Relationship Id="rId48" Type="http://schemas.openxmlformats.org/officeDocument/2006/relationships/hyperlink" Target="https://wwwapps.tc.gc.ca/Saf-Sec-Sur/2/CCARCS-RIACC/ADet.aspx?id=537240&amp;hs=N&amp;l=" TargetMode="External"/><Relationship Id="rId64" Type="http://schemas.openxmlformats.org/officeDocument/2006/relationships/hyperlink" Target="https://wwwapps.tc.gc.ca/Saf-Sec-Sur/2/CCARCS-RIACC/ADet.aspx?id=508436&amp;hs=N&amp;l=" TargetMode="External"/><Relationship Id="rId69" Type="http://schemas.openxmlformats.org/officeDocument/2006/relationships/hyperlink" Target="https://wwwapps.tc.gc.ca/Saf-Sec-Sur/2/CCARCS-RIACC/ADet.aspx?id=534313&amp;hs=N&amp;l=" TargetMode="External"/><Relationship Id="rId113" Type="http://schemas.openxmlformats.org/officeDocument/2006/relationships/hyperlink" Target="https://wwwapps.tc.gc.ca/Saf-Sec-Sur/2/CCARCS-RIACC/ADet.aspx?id=519899&amp;hs=N&amp;l=" TargetMode="External"/><Relationship Id="rId118" Type="http://schemas.openxmlformats.org/officeDocument/2006/relationships/hyperlink" Target="https://wwwapps.tc.gc.ca/Saf-Sec-Sur/2/CCARCS-RIACC/ADet.aspx?id=517576&amp;hs=N&amp;l=" TargetMode="External"/><Relationship Id="rId80" Type="http://schemas.openxmlformats.org/officeDocument/2006/relationships/hyperlink" Target="https://wwwapps.tc.gc.ca/Saf-Sec-Sur/2/CCARCS-RIACC/ADet.aspx?id=521117&amp;hs=N&amp;l=" TargetMode="External"/><Relationship Id="rId85" Type="http://schemas.openxmlformats.org/officeDocument/2006/relationships/hyperlink" Target="https://wwwapps.tc.gc.ca/Saf-Sec-Sur/2/CCARCS-RIACC/ADet.aspx?id=522232&amp;hs=N&amp;l=" TargetMode="External"/><Relationship Id="rId12" Type="http://schemas.openxmlformats.org/officeDocument/2006/relationships/hyperlink" Target="https://wwwapps.tc.gc.ca/Saf-Sec-Sur/2/CCARCS-RIACC/ADet.aspx?id=540102&amp;hs=N&amp;l=" TargetMode="External"/><Relationship Id="rId17" Type="http://schemas.openxmlformats.org/officeDocument/2006/relationships/hyperlink" Target="https://wwwapps.tc.gc.ca/Saf-Sec-Sur/2/CCARCS-RIACC/ADet.aspx?id=539755&amp;hs=N&amp;l=" TargetMode="External"/><Relationship Id="rId33" Type="http://schemas.openxmlformats.org/officeDocument/2006/relationships/hyperlink" Target="https://wwwapps.tc.gc.ca/Saf-Sec-Sur/2/CCARCS-RIACC/ADet.aspx?id=538708&amp;hs=N&amp;l=" TargetMode="External"/><Relationship Id="rId38" Type="http://schemas.openxmlformats.org/officeDocument/2006/relationships/hyperlink" Target="https://wwwapps.tc.gc.ca/Saf-Sec-Sur/2/CCARCS-RIACC/ADet.aspx?id=538364&amp;hs=N&amp;l=" TargetMode="External"/><Relationship Id="rId59" Type="http://schemas.openxmlformats.org/officeDocument/2006/relationships/hyperlink" Target="https://wwwapps.tc.gc.ca/Saf-Sec-Sur/2/CCARCS-RIACC/ADet.aspx?id=534818&amp;hs=N&amp;l=" TargetMode="External"/><Relationship Id="rId103" Type="http://schemas.openxmlformats.org/officeDocument/2006/relationships/hyperlink" Target="https://wwwapps.tc.gc.ca/Saf-Sec-Sur/2/CCARCS-RIACC/ADet.aspx?id=525980&amp;hs=N&amp;l=" TargetMode="External"/><Relationship Id="rId108" Type="http://schemas.openxmlformats.org/officeDocument/2006/relationships/hyperlink" Target="https://wwwapps.tc.gc.ca/Saf-Sec-Sur/2/CCARCS-RIACC/ADet.aspx?id=523197&amp;hs=N&amp;l=" TargetMode="External"/><Relationship Id="rId124" Type="http://schemas.openxmlformats.org/officeDocument/2006/relationships/hyperlink" Target="https://wwwapps.tc.gc.ca/Saf-Sec-Sur/2/CCARCS-RIACC/ADet.aspx?id=516629&amp;hs=N&amp;l=" TargetMode="External"/><Relationship Id="rId129" Type="http://schemas.openxmlformats.org/officeDocument/2006/relationships/hyperlink" Target="https://wwwapps.tc.gc.ca/Saf-Sec-Sur/2/CCARCS-RIACC/ADet.aspx?id=511006&amp;hs=N&amp;l=" TargetMode="External"/><Relationship Id="rId54" Type="http://schemas.openxmlformats.org/officeDocument/2006/relationships/hyperlink" Target="https://wwwapps.tc.gc.ca/Saf-Sec-Sur/2/CCARCS-RIACC/ADet.aspx?id=535283&amp;hs=N&amp;l=" TargetMode="External"/><Relationship Id="rId70" Type="http://schemas.openxmlformats.org/officeDocument/2006/relationships/hyperlink" Target="https://wwwapps.tc.gc.ca/Saf-Sec-Sur/2/CCARCS-RIACC/ADet.aspx?id=4542&amp;hs=N&amp;l=" TargetMode="External"/><Relationship Id="rId75" Type="http://schemas.openxmlformats.org/officeDocument/2006/relationships/hyperlink" Target="https://wwwapps.tc.gc.ca/Saf-Sec-Sur/2/CCARCS-RIACC/ADet.aspx?id=531959&amp;hs=N&amp;l=" TargetMode="External"/><Relationship Id="rId91" Type="http://schemas.openxmlformats.org/officeDocument/2006/relationships/hyperlink" Target="https://wwwapps.tc.gc.ca/Saf-Sec-Sur/2/CCARCS-RIACC/ADet.aspx?id=529464&amp;hs=N&amp;l=" TargetMode="External"/><Relationship Id="rId96" Type="http://schemas.openxmlformats.org/officeDocument/2006/relationships/hyperlink" Target="https://wwwapps.tc.gc.ca/Saf-Sec-Sur/2/CCARCS-RIACC/ADet.aspx?id=520186&amp;hs=N&amp;l=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apps.tc.gc.ca/Saf-Sec-Sur/2/CCARCS-RIACC/ADet.aspx?id=521645&amp;hs=N&amp;l=" TargetMode="External"/><Relationship Id="rId23" Type="http://schemas.openxmlformats.org/officeDocument/2006/relationships/hyperlink" Target="https://wwwapps.tc.gc.ca/Saf-Sec-Sur/2/CCARCS-RIACC/ADet.aspx?id=539131&amp;hs=N&amp;l=" TargetMode="External"/><Relationship Id="rId28" Type="http://schemas.openxmlformats.org/officeDocument/2006/relationships/hyperlink" Target="https://wwwapps.tc.gc.ca/Saf-Sec-Sur/2/CCARCS-RIACC/ADet.aspx?id=27737&amp;hs=N&amp;l=" TargetMode="External"/><Relationship Id="rId49" Type="http://schemas.openxmlformats.org/officeDocument/2006/relationships/hyperlink" Target="https://wwwapps.tc.gc.ca/Saf-Sec-Sur/2/CCARCS-RIACC/ADet.aspx?id=535866&amp;hs=N&amp;l=" TargetMode="External"/><Relationship Id="rId114" Type="http://schemas.openxmlformats.org/officeDocument/2006/relationships/hyperlink" Target="https://wwwapps.tc.gc.ca/Saf-Sec-Sur/2/CCARCS-RIACC/ADet.aspx?id=519829&amp;hs=N&amp;l=" TargetMode="External"/><Relationship Id="rId119" Type="http://schemas.openxmlformats.org/officeDocument/2006/relationships/hyperlink" Target="https://wwwapps.tc.gc.ca/Saf-Sec-Sur/2/CCARCS-RIACC/ADet.aspx?id=6157&amp;hs=N&amp;l=" TargetMode="External"/><Relationship Id="rId44" Type="http://schemas.openxmlformats.org/officeDocument/2006/relationships/hyperlink" Target="https://wwwapps.tc.gc.ca/Saf-Sec-Sur/2/CCARCS-RIACC/ADet.aspx?id=537907&amp;hs=N&amp;l=" TargetMode="External"/><Relationship Id="rId60" Type="http://schemas.openxmlformats.org/officeDocument/2006/relationships/hyperlink" Target="https://wwwapps.tc.gc.ca/Saf-Sec-Sur/2/CCARCS-RIACC/ADet.aspx?id=509686&amp;hs=N&amp;l=" TargetMode="External"/><Relationship Id="rId65" Type="http://schemas.openxmlformats.org/officeDocument/2006/relationships/hyperlink" Target="https://wwwapps.tc.gc.ca/Saf-Sec-Sur/2/CCARCS-RIACC/ADet.aspx?id=534275&amp;hs=N&amp;l=" TargetMode="External"/><Relationship Id="rId81" Type="http://schemas.openxmlformats.org/officeDocument/2006/relationships/hyperlink" Target="https://wwwapps.tc.gc.ca/Saf-Sec-Sur/2/CCARCS-RIACC/ADet.aspx?id=10496&amp;hs=N&amp;l=" TargetMode="External"/><Relationship Id="rId86" Type="http://schemas.openxmlformats.org/officeDocument/2006/relationships/hyperlink" Target="https://wwwapps.tc.gc.ca/Saf-Sec-Sur/2/CCARCS-RIACC/ADet.aspx?id=27651&amp;hs=N&amp;l=" TargetMode="External"/><Relationship Id="rId130" Type="http://schemas.openxmlformats.org/officeDocument/2006/relationships/hyperlink" Target="https://wwwapps.tc.gc.ca/Saf-Sec-Sur/2/CCARCS-RIACC/ADet.aspx?id=26416&amp;hs=N&amp;l=" TargetMode="External"/><Relationship Id="rId13" Type="http://schemas.openxmlformats.org/officeDocument/2006/relationships/hyperlink" Target="https://wwwapps.tc.gc.ca/Saf-Sec-Sur/2/CCARCS-RIACC/ADet.aspx?id=527094&amp;hs=N&amp;l=" TargetMode="External"/><Relationship Id="rId18" Type="http://schemas.openxmlformats.org/officeDocument/2006/relationships/hyperlink" Target="https://wwwapps.tc.gc.ca/Saf-Sec-Sur/2/CCARCS-RIACC/ADet.aspx?id=515421&amp;hs=N&amp;l=" TargetMode="External"/><Relationship Id="rId39" Type="http://schemas.openxmlformats.org/officeDocument/2006/relationships/hyperlink" Target="https://wwwapps.tc.gc.ca/Saf-Sec-Sur/2/CCARCS-RIACC/ADet.aspx?id=519134&amp;hs=N&amp;l=" TargetMode="External"/><Relationship Id="rId109" Type="http://schemas.openxmlformats.org/officeDocument/2006/relationships/hyperlink" Target="https://wwwapps.tc.gc.ca/Saf-Sec-Sur/2/CCARCS-RIACC/ADet.aspx?id=522814&amp;hs=N&amp;l=" TargetMode="External"/><Relationship Id="rId34" Type="http://schemas.openxmlformats.org/officeDocument/2006/relationships/hyperlink" Target="https://wwwapps.tc.gc.ca/Saf-Sec-Sur/2/CCARCS-RIACC/ADet.aspx?id=532528&amp;hs=N&amp;l=" TargetMode="External"/><Relationship Id="rId50" Type="http://schemas.openxmlformats.org/officeDocument/2006/relationships/hyperlink" Target="https://wwwapps.tc.gc.ca/Saf-Sec-Sur/2/CCARCS-RIACC/ADet.aspx?id=536790&amp;hs=N&amp;l=" TargetMode="External"/><Relationship Id="rId55" Type="http://schemas.openxmlformats.org/officeDocument/2006/relationships/hyperlink" Target="https://wwwapps.tc.gc.ca/Saf-Sec-Sur/2/CCARCS-RIACC/ADet.aspx?id=535912&amp;hs=N&amp;l=" TargetMode="External"/><Relationship Id="rId76" Type="http://schemas.openxmlformats.org/officeDocument/2006/relationships/hyperlink" Target="https://wwwapps.tc.gc.ca/Saf-Sec-Sur/2/CCARCS-RIACC/ADet.aspx?id=532644&amp;hs=N&amp;l=" TargetMode="External"/><Relationship Id="rId97" Type="http://schemas.openxmlformats.org/officeDocument/2006/relationships/hyperlink" Target="https://wwwapps.tc.gc.ca/Saf-Sec-Sur/2/CCARCS-RIACC/ADet.aspx?id=28252&amp;hs=N&amp;l=" TargetMode="External"/><Relationship Id="rId104" Type="http://schemas.openxmlformats.org/officeDocument/2006/relationships/hyperlink" Target="https://wwwapps.tc.gc.ca/Saf-Sec-Sur/2/CCARCS-RIACC/ADet.aspx?id=525915&amp;hs=N&amp;l=" TargetMode="External"/><Relationship Id="rId120" Type="http://schemas.openxmlformats.org/officeDocument/2006/relationships/hyperlink" Target="https://wwwapps.tc.gc.ca/Saf-Sec-Sur/2/CCARCS-RIACC/ADet.aspx?id=516938&amp;hs=N&amp;l=" TargetMode="External"/><Relationship Id="rId125" Type="http://schemas.openxmlformats.org/officeDocument/2006/relationships/hyperlink" Target="https://wwwapps.tc.gc.ca/Saf-Sec-Sur/2/CCARCS-RIACC/ADet.aspx?id=516270&amp;hs=N&amp;l=" TargetMode="External"/><Relationship Id="rId7" Type="http://schemas.openxmlformats.org/officeDocument/2006/relationships/hyperlink" Target="https://wwwapps.tc.gc.ca/Saf-Sec-Sur/2/CCARCS-RIACC/ADet.aspx?id=540727&amp;hs=N&amp;l=" TargetMode="External"/><Relationship Id="rId71" Type="http://schemas.openxmlformats.org/officeDocument/2006/relationships/hyperlink" Target="https://wwwapps.tc.gc.ca/Saf-Sec-Sur/2/CCARCS-RIACC/ADet.aspx?id=530317&amp;hs=N&amp;l=" TargetMode="External"/><Relationship Id="rId92" Type="http://schemas.openxmlformats.org/officeDocument/2006/relationships/hyperlink" Target="https://wwwapps.tc.gc.ca/Saf-Sec-Sur/2/CCARCS-RIACC/ADet.aspx?id=500149&amp;hs=N&amp;l=" TargetMode="External"/><Relationship Id="rId2" Type="http://schemas.openxmlformats.org/officeDocument/2006/relationships/pivotTable" Target="../pivotTables/pivotTable2.xml"/><Relationship Id="rId29" Type="http://schemas.openxmlformats.org/officeDocument/2006/relationships/hyperlink" Target="https://wwwapps.tc.gc.ca/Saf-Sec-Sur/2/CCARCS-RIACC/ADet.aspx?id=501312&amp;hs=N&amp;l=" TargetMode="External"/><Relationship Id="rId24" Type="http://schemas.openxmlformats.org/officeDocument/2006/relationships/hyperlink" Target="https://wwwapps.tc.gc.ca/Saf-Sec-Sur/2/CCARCS-RIACC/ADet.aspx?id=539457&amp;hs=N&amp;l=" TargetMode="External"/><Relationship Id="rId40" Type="http://schemas.openxmlformats.org/officeDocument/2006/relationships/hyperlink" Target="https://wwwapps.tc.gc.ca/Saf-Sec-Sur/2/CCARCS-RIACC/ADet.aspx?id=533369&amp;hs=N&amp;l=" TargetMode="External"/><Relationship Id="rId45" Type="http://schemas.openxmlformats.org/officeDocument/2006/relationships/hyperlink" Target="https://wwwapps.tc.gc.ca/Saf-Sec-Sur/2/CCARCS-RIACC/ADet.aspx?id=513268&amp;hs=N&amp;l=" TargetMode="External"/><Relationship Id="rId66" Type="http://schemas.openxmlformats.org/officeDocument/2006/relationships/hyperlink" Target="https://wwwapps.tc.gc.ca/Saf-Sec-Sur/2/CCARCS-RIACC/ADet.aspx?id=533176&amp;hs=N&amp;l=" TargetMode="External"/><Relationship Id="rId87" Type="http://schemas.openxmlformats.org/officeDocument/2006/relationships/hyperlink" Target="https://wwwapps.tc.gc.ca/Saf-Sec-Sur/2/CCARCS-RIACC/ADet.aspx?id=8770&amp;hs=N&amp;l=" TargetMode="External"/><Relationship Id="rId110" Type="http://schemas.openxmlformats.org/officeDocument/2006/relationships/hyperlink" Target="https://wwwapps.tc.gc.ca/Saf-Sec-Sur/2/CCARCS-RIACC/ADet.aspx?id=520941&amp;hs=N&amp;l=" TargetMode="External"/><Relationship Id="rId115" Type="http://schemas.openxmlformats.org/officeDocument/2006/relationships/hyperlink" Target="https://wwwapps.tc.gc.ca/Saf-Sec-Sur/2/CCARCS-RIACC/ADet.aspx?id=519462&amp;hs=N&amp;l=" TargetMode="External"/><Relationship Id="rId131" Type="http://schemas.openxmlformats.org/officeDocument/2006/relationships/hyperlink" Target="https://wwwapps.tc.gc.ca/Saf-Sec-Sur/2/CCARCS-RIACC/ADet.aspx?id=25794&amp;hs=N&amp;l=" TargetMode="External"/><Relationship Id="rId61" Type="http://schemas.openxmlformats.org/officeDocument/2006/relationships/hyperlink" Target="https://wwwapps.tc.gc.ca/Saf-Sec-Sur/2/CCARCS-RIACC/ADet.aspx?id=535077&amp;hs=N&amp;l=" TargetMode="External"/><Relationship Id="rId82" Type="http://schemas.openxmlformats.org/officeDocument/2006/relationships/hyperlink" Target="https://wwwapps.tc.gc.ca/Saf-Sec-Sur/2/CCARCS-RIACC/ADet.aspx?id=504053&amp;hs=N&amp;l=" TargetMode="External"/><Relationship Id="rId19" Type="http://schemas.openxmlformats.org/officeDocument/2006/relationships/hyperlink" Target="https://wwwapps.tc.gc.ca/Saf-Sec-Sur/2/CCARCS-RIACC/ADet.aspx?id=539589&amp;hs=N&amp;l=" TargetMode="External"/><Relationship Id="rId14" Type="http://schemas.openxmlformats.org/officeDocument/2006/relationships/hyperlink" Target="https://wwwapps.tc.gc.ca/Saf-Sec-Sur/2/CCARCS-RIACC/ADet.aspx?id=540153&amp;hs=N&amp;l=" TargetMode="External"/><Relationship Id="rId30" Type="http://schemas.openxmlformats.org/officeDocument/2006/relationships/hyperlink" Target="https://wwwapps.tc.gc.ca/Saf-Sec-Sur/2/CCARCS-RIACC/ADet.aspx?id=538785&amp;hs=N&amp;l=" TargetMode="External"/><Relationship Id="rId35" Type="http://schemas.openxmlformats.org/officeDocument/2006/relationships/hyperlink" Target="https://wwwapps.tc.gc.ca/Saf-Sec-Sur/2/CCARCS-RIACC/ADet.aspx?id=516572&amp;hs=N&amp;l=" TargetMode="External"/><Relationship Id="rId56" Type="http://schemas.openxmlformats.org/officeDocument/2006/relationships/hyperlink" Target="https://wwwapps.tc.gc.ca/Saf-Sec-Sur/2/CCARCS-RIACC/ADet.aspx?id=524185&amp;hs=N&amp;l=" TargetMode="External"/><Relationship Id="rId77" Type="http://schemas.openxmlformats.org/officeDocument/2006/relationships/hyperlink" Target="https://wwwapps.tc.gc.ca/Saf-Sec-Sur/2/CCARCS-RIACC/ADet.aspx?id=517893&amp;hs=N&amp;l=" TargetMode="External"/><Relationship Id="rId100" Type="http://schemas.openxmlformats.org/officeDocument/2006/relationships/hyperlink" Target="https://wwwapps.tc.gc.ca/Saf-Sec-Sur/2/CCARCS-RIACC/ADet.aspx?id=526922&amp;hs=N&amp;l=" TargetMode="External"/><Relationship Id="rId105" Type="http://schemas.openxmlformats.org/officeDocument/2006/relationships/hyperlink" Target="https://wwwapps.tc.gc.ca/Saf-Sec-Sur/2/CCARCS-RIACC/ADet.aspx?id=524188&amp;hs=N&amp;l=" TargetMode="External"/><Relationship Id="rId126" Type="http://schemas.openxmlformats.org/officeDocument/2006/relationships/hyperlink" Target="https://wwwapps.tc.gc.ca/Saf-Sec-Sur/2/CCARCS-RIACC/ADet.aspx?id=516208&amp;hs=N&amp;l=" TargetMode="External"/><Relationship Id="rId8" Type="http://schemas.openxmlformats.org/officeDocument/2006/relationships/hyperlink" Target="https://wwwapps.tc.gc.ca/Saf-Sec-Sur/2/CCARCS-RIACC/ADet.aspx?id=536764&amp;hs=N&amp;l=" TargetMode="External"/><Relationship Id="rId51" Type="http://schemas.openxmlformats.org/officeDocument/2006/relationships/hyperlink" Target="https://wwwapps.tc.gc.ca/Saf-Sec-Sur/2/CCARCS-RIACC/ADet.aspx?id=531130&amp;hs=N&amp;l=" TargetMode="External"/><Relationship Id="rId72" Type="http://schemas.openxmlformats.org/officeDocument/2006/relationships/hyperlink" Target="https://wwwapps.tc.gc.ca/Saf-Sec-Sur/2/CCARCS-RIACC/ADet.aspx?id=24419&amp;hs=N&amp;l=" TargetMode="External"/><Relationship Id="rId93" Type="http://schemas.openxmlformats.org/officeDocument/2006/relationships/hyperlink" Target="https://wwwapps.tc.gc.ca/Saf-Sec-Sur/2/CCARCS-RIACC/ADet.aspx?id=528091&amp;hs=N&amp;l=" TargetMode="External"/><Relationship Id="rId98" Type="http://schemas.openxmlformats.org/officeDocument/2006/relationships/hyperlink" Target="https://wwwapps.tc.gc.ca/Saf-Sec-Sur/2/CCARCS-RIACC/ADet.aspx?id=527715&amp;hs=N&amp;l=" TargetMode="External"/><Relationship Id="rId121" Type="http://schemas.openxmlformats.org/officeDocument/2006/relationships/hyperlink" Target="https://wwwapps.tc.gc.ca/Saf-Sec-Sur/2/CCARCS-RIACC/ADet.aspx?id=516855&amp;hs=N&amp;l=" TargetMode="External"/><Relationship Id="rId3" Type="http://schemas.openxmlformats.org/officeDocument/2006/relationships/hyperlink" Target="https://wwwapps.tc.gc.ca/Saf-Sec-Sur/2/CCARCS-RIACC/ADet.aspx?id=19724&amp;hs=N&amp;l=" TargetMode="External"/><Relationship Id="rId25" Type="http://schemas.openxmlformats.org/officeDocument/2006/relationships/hyperlink" Target="https://wwwapps.tc.gc.ca/Saf-Sec-Sur/2/CCARCS-RIACC/ADet.aspx?id=539412&amp;hs=N&amp;l=" TargetMode="External"/><Relationship Id="rId46" Type="http://schemas.openxmlformats.org/officeDocument/2006/relationships/hyperlink" Target="https://wwwapps.tc.gc.ca/Saf-Sec-Sur/2/CCARCS-RIACC/ADet.aspx?id=537879&amp;hs=N&amp;l=" TargetMode="External"/><Relationship Id="rId67" Type="http://schemas.openxmlformats.org/officeDocument/2006/relationships/hyperlink" Target="https://wwwapps.tc.gc.ca/Saf-Sec-Sur/2/CCARCS-RIACC/ADet.aspx?id=27325&amp;hs=N&amp;l=" TargetMode="External"/><Relationship Id="rId116" Type="http://schemas.openxmlformats.org/officeDocument/2006/relationships/hyperlink" Target="https://wwwapps.tc.gc.ca/Saf-Sec-Sur/2/CCARCS-RIACC/ADet.aspx?id=518507&amp;hs=N&amp;l=" TargetMode="External"/><Relationship Id="rId20" Type="http://schemas.openxmlformats.org/officeDocument/2006/relationships/hyperlink" Target="https://wwwapps.tc.gc.ca/Saf-Sec-Sur/2/CCARCS-RIACC/ADet.aspx?id=532938&amp;hs=N&amp;l=" TargetMode="External"/><Relationship Id="rId41" Type="http://schemas.openxmlformats.org/officeDocument/2006/relationships/hyperlink" Target="https://wwwapps.tc.gc.ca/Saf-Sec-Sur/2/CCARCS-RIACC/ADet.aspx?id=538044&amp;hs=N&amp;l=" TargetMode="External"/><Relationship Id="rId62" Type="http://schemas.openxmlformats.org/officeDocument/2006/relationships/hyperlink" Target="https://wwwapps.tc.gc.ca/Saf-Sec-Sur/2/CCARCS-RIACC/ADet.aspx?id=535064&amp;hs=N&amp;l=" TargetMode="External"/><Relationship Id="rId83" Type="http://schemas.openxmlformats.org/officeDocument/2006/relationships/hyperlink" Target="https://wwwapps.tc.gc.ca/Saf-Sec-Sur/2/CCARCS-RIACC/ADet.aspx?id=508406&amp;hs=N&amp;l=" TargetMode="External"/><Relationship Id="rId88" Type="http://schemas.openxmlformats.org/officeDocument/2006/relationships/hyperlink" Target="https://wwwapps.tc.gc.ca/Saf-Sec-Sur/2/CCARCS-RIACC/ADet.aspx?id=27039&amp;hs=N&amp;l=" TargetMode="External"/><Relationship Id="rId111" Type="http://schemas.openxmlformats.org/officeDocument/2006/relationships/hyperlink" Target="https://wwwapps.tc.gc.ca/Saf-Sec-Sur/2/CCARCS-RIACC/ADet.aspx?id=520141&amp;hs=N&amp;l=" TargetMode="External"/><Relationship Id="rId132" Type="http://schemas.openxmlformats.org/officeDocument/2006/relationships/hyperlink" Target="https://wwwapps.tc.gc.ca/Saf-Sec-Sur/2/CCARCS-RIACC/ADet.aspx?id=27611&amp;hs=N&amp;l=" TargetMode="External"/><Relationship Id="rId15" Type="http://schemas.openxmlformats.org/officeDocument/2006/relationships/hyperlink" Target="https://wwwapps.tc.gc.ca/Saf-Sec-Sur/2/CCARCS-RIACC/ADet.aspx?id=539912&amp;hs=N&amp;l=" TargetMode="External"/><Relationship Id="rId36" Type="http://schemas.openxmlformats.org/officeDocument/2006/relationships/hyperlink" Target="https://wwwapps.tc.gc.ca/Saf-Sec-Sur/2/CCARCS-RIACC/ADet.aspx?id=516623&amp;hs=N&amp;l=" TargetMode="External"/><Relationship Id="rId57" Type="http://schemas.openxmlformats.org/officeDocument/2006/relationships/hyperlink" Target="https://wwwapps.tc.gc.ca/Saf-Sec-Sur/2/CCARCS-RIACC/ADet.aspx?id=524148&amp;hs=N&amp;l=" TargetMode="External"/><Relationship Id="rId106" Type="http://schemas.openxmlformats.org/officeDocument/2006/relationships/hyperlink" Target="https://wwwapps.tc.gc.ca/Saf-Sec-Sur/2/CCARCS-RIACC/ADet.aspx?id=27941&amp;hs=N&amp;l=" TargetMode="External"/><Relationship Id="rId127" Type="http://schemas.openxmlformats.org/officeDocument/2006/relationships/hyperlink" Target="https://wwwapps.tc.gc.ca/Saf-Sec-Sur/2/CCARCS-RIACC/ADet.aspx?id=515308&amp;hs=N&amp;l=" TargetMode="External"/><Relationship Id="rId10" Type="http://schemas.openxmlformats.org/officeDocument/2006/relationships/hyperlink" Target="https://wwwapps.tc.gc.ca/Saf-Sec-Sur/2/CCARCS-RIACC/ADet.aspx?id=531540&amp;hs=N&amp;l=" TargetMode="External"/><Relationship Id="rId31" Type="http://schemas.openxmlformats.org/officeDocument/2006/relationships/hyperlink" Target="https://wwwapps.tc.gc.ca/Saf-Sec-Sur/2/CCARCS-RIACC/ADet.aspx?id=538833&amp;hs=N&amp;l=" TargetMode="External"/><Relationship Id="rId52" Type="http://schemas.openxmlformats.org/officeDocument/2006/relationships/hyperlink" Target="https://wwwapps.tc.gc.ca/Saf-Sec-Sur/2/CCARCS-RIACC/ADet.aspx?id=536251&amp;hs=N&amp;l=" TargetMode="External"/><Relationship Id="rId73" Type="http://schemas.openxmlformats.org/officeDocument/2006/relationships/hyperlink" Target="https://wwwapps.tc.gc.ca/Saf-Sec-Sur/2/CCARCS-RIACC/ADet.aspx?id=27442&amp;hs=N&amp;l=" TargetMode="External"/><Relationship Id="rId78" Type="http://schemas.openxmlformats.org/officeDocument/2006/relationships/hyperlink" Target="https://wwwapps.tc.gc.ca/Saf-Sec-Sur/2/CCARCS-RIACC/ADet.aspx?id=531356&amp;hs=N&amp;l=" TargetMode="External"/><Relationship Id="rId94" Type="http://schemas.openxmlformats.org/officeDocument/2006/relationships/hyperlink" Target="https://wwwapps.tc.gc.ca/Saf-Sec-Sur/2/CCARCS-RIACC/ADet.aspx?id=27888&amp;hs=N&amp;l=" TargetMode="External"/><Relationship Id="rId99" Type="http://schemas.openxmlformats.org/officeDocument/2006/relationships/hyperlink" Target="https://wwwapps.tc.gc.ca/Saf-Sec-Sur/2/CCARCS-RIACC/ADet.aspx?id=27903&amp;hs=N&amp;l=" TargetMode="External"/><Relationship Id="rId101" Type="http://schemas.openxmlformats.org/officeDocument/2006/relationships/hyperlink" Target="https://wwwapps.tc.gc.ca/Saf-Sec-Sur/2/CCARCS-RIACC/ADet.aspx?id=509532&amp;hs=N&amp;l=" TargetMode="External"/><Relationship Id="rId122" Type="http://schemas.openxmlformats.org/officeDocument/2006/relationships/hyperlink" Target="https://wwwapps.tc.gc.ca/Saf-Sec-Sur/2/CCARCS-RIACC/ADet.aspx?id=516721&amp;hs=N&amp;l=" TargetMode="External"/><Relationship Id="rId4" Type="http://schemas.openxmlformats.org/officeDocument/2006/relationships/hyperlink" Target="https://wwwapps.tc.gc.ca/Saf-Sec-Sur/2/CCARCS-RIACC/ADet.aspx?id=12829&amp;hs=N&amp;l=" TargetMode="External"/><Relationship Id="rId9" Type="http://schemas.openxmlformats.org/officeDocument/2006/relationships/hyperlink" Target="https://wwwapps.tc.gc.ca/Saf-Sec-Sur/2/CCARCS-RIACC/ADet.aspx?id=537098&amp;hs=N&amp;l=" TargetMode="External"/><Relationship Id="rId26" Type="http://schemas.openxmlformats.org/officeDocument/2006/relationships/hyperlink" Target="https://wwwapps.tc.gc.ca/Saf-Sec-Sur/2/CCARCS-RIACC/ADet.aspx?id=538568&amp;hs=N&amp;l=" TargetMode="External"/><Relationship Id="rId47" Type="http://schemas.openxmlformats.org/officeDocument/2006/relationships/hyperlink" Target="https://wwwapps.tc.gc.ca/Saf-Sec-Sur/2/CCARCS-RIACC/ADet.aspx?id=537802&amp;hs=N&amp;l=" TargetMode="External"/><Relationship Id="rId68" Type="http://schemas.openxmlformats.org/officeDocument/2006/relationships/hyperlink" Target="https://wwwapps.tc.gc.ca/Saf-Sec-Sur/2/CCARCS-RIACC/ADet.aspx?id=532926&amp;hs=N&amp;l=" TargetMode="External"/><Relationship Id="rId89" Type="http://schemas.openxmlformats.org/officeDocument/2006/relationships/hyperlink" Target="https://wwwapps.tc.gc.ca/Saf-Sec-Sur/2/CCARCS-RIACC/ADet.aspx?id=27636&amp;hs=N&amp;l=" TargetMode="External"/><Relationship Id="rId112" Type="http://schemas.openxmlformats.org/officeDocument/2006/relationships/hyperlink" Target="https://wwwapps.tc.gc.ca/Saf-Sec-Sur/2/CCARCS-RIACC/ADet.aspx?id=520164&amp;hs=N&amp;l=" TargetMode="External"/><Relationship Id="rId13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apps.tc.gc.ca/Saf-Sec-Sur/2/CCARCS-RIACC/ADetHis.aspx?id=1080637&amp;m=FXAB" TargetMode="External"/><Relationship Id="rId299" Type="http://schemas.openxmlformats.org/officeDocument/2006/relationships/hyperlink" Target="https://wwwapps.tc.gc.ca/Saf-Sec-Sur/2/CCARCS-RIACC/ADet.aspx?id=538785&amp;hs=N&amp;l=" TargetMode="External"/><Relationship Id="rId21" Type="http://schemas.openxmlformats.org/officeDocument/2006/relationships/hyperlink" Target="https://wwwapps.tc.gc.ca/Saf-Sec-Sur/2/CCARCS-RIACC/ADetHis.aspx?id=1502605&amp;m=FANJ" TargetMode="External"/><Relationship Id="rId63" Type="http://schemas.openxmlformats.org/officeDocument/2006/relationships/hyperlink" Target="https://wwwapps.tc.gc.ca/Saf-Sec-Sur/2/CCARCS-RIACC/ADetHis.aspx?id=807323&amp;m=GPCO" TargetMode="External"/><Relationship Id="rId159" Type="http://schemas.openxmlformats.org/officeDocument/2006/relationships/hyperlink" Target="https://wwwapps.tc.gc.ca/Saf-Sec-Sur/2/CCARCS-RIACC/ADetHis.aspx?id=914009&amp;m=FKVL" TargetMode="External"/><Relationship Id="rId324" Type="http://schemas.openxmlformats.org/officeDocument/2006/relationships/hyperlink" Target="https://wwwapps.tc.gc.ca/Saf-Sec-Sur/2/CCARCS-RIACC/ADet.aspx?id=535912&amp;hs=N&amp;l=" TargetMode="External"/><Relationship Id="rId366" Type="http://schemas.openxmlformats.org/officeDocument/2006/relationships/hyperlink" Target="https://wwwapps.tc.gc.ca/Saf-Sec-Sur/2/CCARCS-RIACC/ADet.aspx?id=28252&amp;hs=N&amp;l=" TargetMode="External"/><Relationship Id="rId170" Type="http://schemas.openxmlformats.org/officeDocument/2006/relationships/hyperlink" Target="https://wwwapps.tc.gc.ca/Saf-Sec-Sur/2/CCARCS-RIACC/ADetHis.aspx?id=91820&amp;m=FKUL" TargetMode="External"/><Relationship Id="rId226" Type="http://schemas.openxmlformats.org/officeDocument/2006/relationships/hyperlink" Target="https://wwwapps.tc.gc.ca/Saf-Sec-Sur/2/CCARCS-RIACC/ADetHis.aspx?id=1118670&amp;m=GKAY" TargetMode="External"/><Relationship Id="rId268" Type="http://schemas.openxmlformats.org/officeDocument/2006/relationships/hyperlink" Target="https://wwwapps.tc.gc.ca/Saf-Sec-Sur/2/CCARCS-RIACC/ADetHis.aspx?id=1221118&amp;m=FCVD" TargetMode="External"/><Relationship Id="rId32" Type="http://schemas.openxmlformats.org/officeDocument/2006/relationships/hyperlink" Target="https://wwwapps.tc.gc.ca/Saf-Sec-Sur/2/CCARCS-RIACC/ADetHis.aspx?id=1443431&amp;m=GNGI" TargetMode="External"/><Relationship Id="rId74" Type="http://schemas.openxmlformats.org/officeDocument/2006/relationships/hyperlink" Target="https://wwwapps.tc.gc.ca/Saf-Sec-Sur/2/CCARCS-RIACC/ADetHis.aspx?id=924773&amp;m=GMLF" TargetMode="External"/><Relationship Id="rId128" Type="http://schemas.openxmlformats.org/officeDocument/2006/relationships/hyperlink" Target="https://wwwapps.tc.gc.ca/Saf-Sec-Sur/2/CCARCS-RIACC/ADetHis.aspx?id=704836&amp;m=FVPC" TargetMode="External"/><Relationship Id="rId335" Type="http://schemas.openxmlformats.org/officeDocument/2006/relationships/hyperlink" Target="https://wwwapps.tc.gc.ca/Saf-Sec-Sur/2/CCARCS-RIACC/ADet.aspx?id=533176&amp;hs=N&amp;l=" TargetMode="External"/><Relationship Id="rId377" Type="http://schemas.openxmlformats.org/officeDocument/2006/relationships/hyperlink" Target="https://wwwapps.tc.gc.ca/Saf-Sec-Sur/2/CCARCS-RIACC/ADet.aspx?id=523197&amp;hs=N&amp;l=" TargetMode="External"/><Relationship Id="rId5" Type="http://schemas.openxmlformats.org/officeDocument/2006/relationships/hyperlink" Target="https://wwwapps.tc.gc.ca/Saf-Sec-Sur/2/CCARCS-RIACC/ADetHis.aspx?id=1654442&amp;m=FPCI" TargetMode="External"/><Relationship Id="rId181" Type="http://schemas.openxmlformats.org/officeDocument/2006/relationships/hyperlink" Target="https://wwwapps.tc.gc.ca/Saf-Sec-Sur/2/CCARCS-RIACC/ADetHis.aspx?id=1029605&amp;m=FKGA" TargetMode="External"/><Relationship Id="rId237" Type="http://schemas.openxmlformats.org/officeDocument/2006/relationships/hyperlink" Target="https://wwwapps.tc.gc.ca/Saf-Sec-Sur/2/CCARCS-RIACC/ADetHis.aspx?id=1214554&amp;m=GFKA" TargetMode="External"/><Relationship Id="rId279" Type="http://schemas.openxmlformats.org/officeDocument/2006/relationships/hyperlink" Target="https://wwwapps.tc.gc.ca/Saf-Sec-Sur/2/CCARCS-RIACC/ADet.aspx?id=531540&amp;hs=N&amp;l=" TargetMode="External"/><Relationship Id="rId43" Type="http://schemas.openxmlformats.org/officeDocument/2006/relationships/hyperlink" Target="https://wwwapps.tc.gc.ca/Saf-Sec-Sur/2/CCARCS-RIACC/ADetHis.aspx?id=1389839&amp;m=GXTB" TargetMode="External"/><Relationship Id="rId139" Type="http://schemas.openxmlformats.org/officeDocument/2006/relationships/hyperlink" Target="https://wwwapps.tc.gc.ca/Saf-Sec-Sur/2/CCARCS-RIACC/ADetHis.aspx?id=611027&amp;m=FPCZ" TargetMode="External"/><Relationship Id="rId290" Type="http://schemas.openxmlformats.org/officeDocument/2006/relationships/hyperlink" Target="https://wwwapps.tc.gc.ca/Saf-Sec-Sur/2/CCARCS-RIACC/ADet.aspx?id=539649&amp;hs=N&amp;l=" TargetMode="External"/><Relationship Id="rId304" Type="http://schemas.openxmlformats.org/officeDocument/2006/relationships/hyperlink" Target="https://wwwapps.tc.gc.ca/Saf-Sec-Sur/2/CCARCS-RIACC/ADet.aspx?id=516572&amp;hs=N&amp;l=" TargetMode="External"/><Relationship Id="rId346" Type="http://schemas.openxmlformats.org/officeDocument/2006/relationships/hyperlink" Target="https://wwwapps.tc.gc.ca/Saf-Sec-Sur/2/CCARCS-RIACC/ADet.aspx?id=517893&amp;hs=N&amp;l=" TargetMode="External"/><Relationship Id="rId388" Type="http://schemas.openxmlformats.org/officeDocument/2006/relationships/hyperlink" Target="https://wwwapps.tc.gc.ca/Saf-Sec-Sur/2/CCARCS-RIACC/ADet.aspx?id=6157&amp;hs=N&amp;l=" TargetMode="External"/><Relationship Id="rId85" Type="http://schemas.openxmlformats.org/officeDocument/2006/relationships/hyperlink" Target="https://wwwapps.tc.gc.ca/Saf-Sec-Sur/2/CCARCS-RIACC/ADetHis.aspx?id=949285&amp;m=GKNR" TargetMode="External"/><Relationship Id="rId150" Type="http://schemas.openxmlformats.org/officeDocument/2006/relationships/hyperlink" Target="https://wwwapps.tc.gc.ca/Saf-Sec-Sur/2/CCARCS-RIACC/ADetHis.aspx?id=911859&amp;m=FMPF" TargetMode="External"/><Relationship Id="rId192" Type="http://schemas.openxmlformats.org/officeDocument/2006/relationships/hyperlink" Target="https://wwwapps.tc.gc.ca/Saf-Sec-Sur/2/CCARCS-RIACC/ADetHis.aspx?id=991041&amp;m=FDLV" TargetMode="External"/><Relationship Id="rId206" Type="http://schemas.openxmlformats.org/officeDocument/2006/relationships/hyperlink" Target="https://wwwapps.tc.gc.ca/Saf-Sec-Sur/2/CCARCS-RIACC/ADetHis.aspx?id=1209078&amp;m=GTXV" TargetMode="External"/><Relationship Id="rId248" Type="http://schemas.openxmlformats.org/officeDocument/2006/relationships/hyperlink" Target="https://wwwapps.tc.gc.ca/Saf-Sec-Sur/2/CCARCS-RIACC/ADetHis.aspx?id=1173926&amp;m=FUAM" TargetMode="External"/><Relationship Id="rId12" Type="http://schemas.openxmlformats.org/officeDocument/2006/relationships/hyperlink" Target="https://wwwapps.tc.gc.ca/Saf-Sec-Sur/2/CCARCS-RIACC/ADetHis.aspx?id=1605535&amp;m=FGWG" TargetMode="External"/><Relationship Id="rId108" Type="http://schemas.openxmlformats.org/officeDocument/2006/relationships/hyperlink" Target="https://wwwapps.tc.gc.ca/Saf-Sec-Sur/2/CCARCS-RIACC/ADetHis.aspx?id=85383&amp;m=GBXW" TargetMode="External"/><Relationship Id="rId315" Type="http://schemas.openxmlformats.org/officeDocument/2006/relationships/hyperlink" Target="https://wwwapps.tc.gc.ca/Saf-Sec-Sur/2/CCARCS-RIACC/ADet.aspx?id=537879&amp;hs=N&amp;l=" TargetMode="External"/><Relationship Id="rId357" Type="http://schemas.openxmlformats.org/officeDocument/2006/relationships/hyperlink" Target="https://wwwapps.tc.gc.ca/Saf-Sec-Sur/2/CCARCS-RIACC/ADet.aspx?id=27039&amp;hs=N&amp;l=" TargetMode="External"/><Relationship Id="rId54" Type="http://schemas.openxmlformats.org/officeDocument/2006/relationships/hyperlink" Target="https://wwwapps.tc.gc.ca/Saf-Sec-Sur/2/CCARCS-RIACC/ADetHis.aspx?id=1341608&amp;m=GBXW" TargetMode="External"/><Relationship Id="rId96" Type="http://schemas.openxmlformats.org/officeDocument/2006/relationships/hyperlink" Target="https://wwwapps.tc.gc.ca/Saf-Sec-Sur/2/CCARCS-RIACC/ADetHis.aspx?id=861497&amp;m=GFIL" TargetMode="External"/><Relationship Id="rId161" Type="http://schemas.openxmlformats.org/officeDocument/2006/relationships/hyperlink" Target="https://wwwapps.tc.gc.ca/Saf-Sec-Sur/2/CCARCS-RIACC/ADetHis.aspx?id=92411&amp;m=FKVL" TargetMode="External"/><Relationship Id="rId217" Type="http://schemas.openxmlformats.org/officeDocument/2006/relationships/hyperlink" Target="https://wwwapps.tc.gc.ca/Saf-Sec-Sur/2/CCARCS-RIACC/ADetHis.aspx?id=1156741&amp;m=GMPZ" TargetMode="External"/><Relationship Id="rId399" Type="http://schemas.openxmlformats.org/officeDocument/2006/relationships/hyperlink" Target="https://wwwapps.tc.gc.ca/Saf-Sec-Sur/2/CCARCS-RIACC/ADet.aspx?id=26416&amp;hs=N&amp;l=" TargetMode="External"/><Relationship Id="rId259" Type="http://schemas.openxmlformats.org/officeDocument/2006/relationships/hyperlink" Target="https://wwwapps.tc.gc.ca/Saf-Sec-Sur/2/CCARCS-RIACC/ADetHis.aspx?id=1174950&amp;m=FMAO" TargetMode="External"/><Relationship Id="rId23" Type="http://schemas.openxmlformats.org/officeDocument/2006/relationships/hyperlink" Target="https://wwwapps.tc.gc.ca/Saf-Sec-Sur/2/CCARCS-RIACC/ADetHis.aspx?id=1500866&amp;m=GPWL" TargetMode="External"/><Relationship Id="rId119" Type="http://schemas.openxmlformats.org/officeDocument/2006/relationships/hyperlink" Target="https://wwwapps.tc.gc.ca/Saf-Sec-Sur/2/CCARCS-RIACC/ADetHis.aspx?id=90065&amp;m=FVPK" TargetMode="External"/><Relationship Id="rId270" Type="http://schemas.openxmlformats.org/officeDocument/2006/relationships/hyperlink" Target="https://wwwapps.tc.gc.ca/Saf-Sec-Sur/2/CCARCS-RIACC/ADetHis.aspx?id=1269058&amp;m=FCLB" TargetMode="External"/><Relationship Id="rId326" Type="http://schemas.openxmlformats.org/officeDocument/2006/relationships/hyperlink" Target="https://wwwapps.tc.gc.ca/Saf-Sec-Sur/2/CCARCS-RIACC/ADet.aspx?id=524148&amp;hs=N&amp;l=" TargetMode="External"/><Relationship Id="rId65" Type="http://schemas.openxmlformats.org/officeDocument/2006/relationships/hyperlink" Target="https://wwwapps.tc.gc.ca/Saf-Sec-Sur/2/CCARCS-RIACC/ADetHis.aspx?id=780995&amp;m=GPCO" TargetMode="External"/><Relationship Id="rId130" Type="http://schemas.openxmlformats.org/officeDocument/2006/relationships/hyperlink" Target="https://wwwapps.tc.gc.ca/Saf-Sec-Sur/2/CCARCS-RIACC/ADetHis.aspx?id=616909&amp;m=FVPC" TargetMode="External"/><Relationship Id="rId368" Type="http://schemas.openxmlformats.org/officeDocument/2006/relationships/hyperlink" Target="https://wwwapps.tc.gc.ca/Saf-Sec-Sur/2/CCARCS-RIACC/ADet.aspx?id=27903&amp;hs=N&amp;l=" TargetMode="External"/><Relationship Id="rId172" Type="http://schemas.openxmlformats.org/officeDocument/2006/relationships/hyperlink" Target="https://wwwapps.tc.gc.ca/Saf-Sec-Sur/2/CCARCS-RIACC/ADetHis.aspx?id=943363&amp;m=FKSL" TargetMode="External"/><Relationship Id="rId228" Type="http://schemas.openxmlformats.org/officeDocument/2006/relationships/hyperlink" Target="https://wwwapps.tc.gc.ca/Saf-Sec-Sur/2/CCARCS-RIACC/ADetHis.aspx?id=1104033&amp;m=GKAY" TargetMode="External"/><Relationship Id="rId281" Type="http://schemas.openxmlformats.org/officeDocument/2006/relationships/hyperlink" Target="https://wwwapps.tc.gc.ca/Saf-Sec-Sur/2/CCARCS-RIACC/ADet.aspx?id=540102&amp;hs=N&amp;l=" TargetMode="External"/><Relationship Id="rId337" Type="http://schemas.openxmlformats.org/officeDocument/2006/relationships/hyperlink" Target="https://wwwapps.tc.gc.ca/Saf-Sec-Sur/2/CCARCS-RIACC/ADet.aspx?id=532926&amp;hs=N&amp;l=" TargetMode="External"/><Relationship Id="rId34" Type="http://schemas.openxmlformats.org/officeDocument/2006/relationships/hyperlink" Target="https://wwwapps.tc.gc.ca/Saf-Sec-Sur/2/CCARCS-RIACC/ADetHis.aspx?id=1416674&amp;m=GNGI" TargetMode="External"/><Relationship Id="rId76" Type="http://schemas.openxmlformats.org/officeDocument/2006/relationships/hyperlink" Target="https://wwwapps.tc.gc.ca/Saf-Sec-Sur/2/CCARCS-RIACC/ADetHis.aspx?id=772345&amp;m=GMAE" TargetMode="External"/><Relationship Id="rId141" Type="http://schemas.openxmlformats.org/officeDocument/2006/relationships/hyperlink" Target="https://wwwapps.tc.gc.ca/Saf-Sec-Sur/2/CCARCS-RIACC/ADetHis.aspx?id=812985&amp;m=FPCL" TargetMode="External"/><Relationship Id="rId379" Type="http://schemas.openxmlformats.org/officeDocument/2006/relationships/hyperlink" Target="https://wwwapps.tc.gc.ca/Saf-Sec-Sur/2/CCARCS-RIACC/ADet.aspx?id=520941&amp;hs=N&amp;l=" TargetMode="External"/><Relationship Id="rId7" Type="http://schemas.openxmlformats.org/officeDocument/2006/relationships/hyperlink" Target="https://wwwapps.tc.gc.ca/Saf-Sec-Sur/2/CCARCS-RIACC/ADetHis.aspx?id=1642179&amp;m=GOGS" TargetMode="External"/><Relationship Id="rId183" Type="http://schemas.openxmlformats.org/officeDocument/2006/relationships/hyperlink" Target="https://wwwapps.tc.gc.ca/Saf-Sec-Sur/2/CCARCS-RIACC/ADetHis.aspx?id=1000713&amp;m=FKGA" TargetMode="External"/><Relationship Id="rId239" Type="http://schemas.openxmlformats.org/officeDocument/2006/relationships/hyperlink" Target="https://wwwapps.tc.gc.ca/Saf-Sec-Sur/2/CCARCS-RIACC/ADetHis.aspx?id=1285143&amp;m=GECT" TargetMode="External"/><Relationship Id="rId390" Type="http://schemas.openxmlformats.org/officeDocument/2006/relationships/hyperlink" Target="https://wwwapps.tc.gc.ca/Saf-Sec-Sur/2/CCARCS-RIACC/ADet.aspx?id=516855&amp;hs=N&amp;l=" TargetMode="External"/><Relationship Id="rId250" Type="http://schemas.openxmlformats.org/officeDocument/2006/relationships/hyperlink" Target="https://wwwapps.tc.gc.ca/Saf-Sec-Sur/2/CCARCS-RIACC/ADetHis.aspx?id=1245022&amp;m=FPCL" TargetMode="External"/><Relationship Id="rId292" Type="http://schemas.openxmlformats.org/officeDocument/2006/relationships/hyperlink" Target="https://wwwapps.tc.gc.ca/Saf-Sec-Sur/2/CCARCS-RIACC/ADet.aspx?id=539131&amp;hs=N&amp;l=" TargetMode="External"/><Relationship Id="rId306" Type="http://schemas.openxmlformats.org/officeDocument/2006/relationships/hyperlink" Target="https://wwwapps.tc.gc.ca/Saf-Sec-Sur/2/CCARCS-RIACC/ADet.aspx?id=538567&amp;hs=N&amp;l=" TargetMode="External"/><Relationship Id="rId45" Type="http://schemas.openxmlformats.org/officeDocument/2006/relationships/hyperlink" Target="https://wwwapps.tc.gc.ca/Saf-Sec-Sur/2/CCARCS-RIACC/ADetHis.aspx?id=1389697&amp;m=GXTB" TargetMode="External"/><Relationship Id="rId87" Type="http://schemas.openxmlformats.org/officeDocument/2006/relationships/hyperlink" Target="https://wwwapps.tc.gc.ca/Saf-Sec-Sur/2/CCARCS-RIACC/ADetHis.aspx?id=91502&amp;m=GKNR" TargetMode="External"/><Relationship Id="rId110" Type="http://schemas.openxmlformats.org/officeDocument/2006/relationships/hyperlink" Target="https://wwwapps.tc.gc.ca/Saf-Sec-Sur/2/CCARCS-RIACC/ADetHis.aspx?id=77756&amp;m=GBXW" TargetMode="External"/><Relationship Id="rId348" Type="http://schemas.openxmlformats.org/officeDocument/2006/relationships/hyperlink" Target="https://wwwapps.tc.gc.ca/Saf-Sec-Sur/2/CCARCS-RIACC/ADet.aspx?id=531156&amp;hs=N&amp;l=" TargetMode="External"/><Relationship Id="rId152" Type="http://schemas.openxmlformats.org/officeDocument/2006/relationships/hyperlink" Target="https://wwwapps.tc.gc.ca/Saf-Sec-Sur/2/CCARCS-RIACC/ADetHis.aspx?id=895323&amp;m=FMPF" TargetMode="External"/><Relationship Id="rId194" Type="http://schemas.openxmlformats.org/officeDocument/2006/relationships/hyperlink" Target="https://wwwapps.tc.gc.ca/Saf-Sec-Sur/2/CCARCS-RIACC/ADetHis.aspx?id=937237&amp;m=FDLV" TargetMode="External"/><Relationship Id="rId208" Type="http://schemas.openxmlformats.org/officeDocument/2006/relationships/hyperlink" Target="https://wwwapps.tc.gc.ca/Saf-Sec-Sur/2/CCARCS-RIACC/ADetHis.aspx?id=1269773&amp;m=GPAI" TargetMode="External"/><Relationship Id="rId261" Type="http://schemas.openxmlformats.org/officeDocument/2006/relationships/hyperlink" Target="https://wwwapps.tc.gc.ca/Saf-Sec-Sur/2/CCARCS-RIACC/ADetHis.aspx?id=1269146&amp;m=FKVL" TargetMode="External"/><Relationship Id="rId14" Type="http://schemas.openxmlformats.org/officeDocument/2006/relationships/hyperlink" Target="https://wwwapps.tc.gc.ca/Saf-Sec-Sur/2/CCARCS-RIACC/ADetHis.aspx?id=1577088&amp;m=GJRG" TargetMode="External"/><Relationship Id="rId56" Type="http://schemas.openxmlformats.org/officeDocument/2006/relationships/hyperlink" Target="https://wwwapps.tc.gc.ca/Saf-Sec-Sur/2/CCARCS-RIACC/ADetHis.aspx?id=1338261&amp;m=FPCI" TargetMode="External"/><Relationship Id="rId317" Type="http://schemas.openxmlformats.org/officeDocument/2006/relationships/hyperlink" Target="https://wwwapps.tc.gc.ca/Saf-Sec-Sur/2/CCARCS-RIACC/ADet.aspx?id=537240&amp;hs=N&amp;l=" TargetMode="External"/><Relationship Id="rId359" Type="http://schemas.openxmlformats.org/officeDocument/2006/relationships/hyperlink" Target="https://wwwapps.tc.gc.ca/Saf-Sec-Sur/2/CCARCS-RIACC/ADet.aspx?id=27071&amp;hs=N&amp;l=" TargetMode="External"/><Relationship Id="rId98" Type="http://schemas.openxmlformats.org/officeDocument/2006/relationships/hyperlink" Target="https://wwwapps.tc.gc.ca/Saf-Sec-Sur/2/CCARCS-RIACC/ADetHis.aspx?id=88529&amp;m=GFIL" TargetMode="External"/><Relationship Id="rId121" Type="http://schemas.openxmlformats.org/officeDocument/2006/relationships/hyperlink" Target="https://wwwapps.tc.gc.ca/Saf-Sec-Sur/2/CCARCS-RIACC/ADetHis.aspx?id=841423&amp;m=FVPC" TargetMode="External"/><Relationship Id="rId163" Type="http://schemas.openxmlformats.org/officeDocument/2006/relationships/hyperlink" Target="https://wwwapps.tc.gc.ca/Saf-Sec-Sur/2/CCARCS-RIACC/ADetHis.aspx?id=1094054&amp;m=FKUL" TargetMode="External"/><Relationship Id="rId219" Type="http://schemas.openxmlformats.org/officeDocument/2006/relationships/hyperlink" Target="https://wwwapps.tc.gc.ca/Saf-Sec-Sur/2/CCARCS-RIACC/ADetHis.aspx?id=1104039&amp;m=GMLF" TargetMode="External"/><Relationship Id="rId370" Type="http://schemas.openxmlformats.org/officeDocument/2006/relationships/hyperlink" Target="https://wwwapps.tc.gc.ca/Saf-Sec-Sur/2/CCARCS-RIACC/ADet.aspx?id=509532&amp;hs=N&amp;l=" TargetMode="External"/><Relationship Id="rId230" Type="http://schemas.openxmlformats.org/officeDocument/2006/relationships/hyperlink" Target="https://wwwapps.tc.gc.ca/Saf-Sec-Sur/2/CCARCS-RIACC/ADetHis.aspx?id=1200972&amp;m=GJRG" TargetMode="External"/><Relationship Id="rId25" Type="http://schemas.openxmlformats.org/officeDocument/2006/relationships/hyperlink" Target="https://wwwapps.tc.gc.ca/Saf-Sec-Sur/2/CCARCS-RIACC/ADetHis.aspx?id=1493059&amp;m=FMDF" TargetMode="External"/><Relationship Id="rId67" Type="http://schemas.openxmlformats.org/officeDocument/2006/relationships/hyperlink" Target="https://wwwapps.tc.gc.ca/Saf-Sec-Sur/2/CCARCS-RIACC/ADetHis.aspx?id=811819&amp;m=GPAI" TargetMode="External"/><Relationship Id="rId272" Type="http://schemas.openxmlformats.org/officeDocument/2006/relationships/hyperlink" Target="https://wwwapps.tc.gc.ca/Saf-Sec-Sur/2/CCARCS-RIACC/ADet.aspx?id=19724&amp;hs=N&amp;l=" TargetMode="External"/><Relationship Id="rId328" Type="http://schemas.openxmlformats.org/officeDocument/2006/relationships/hyperlink" Target="https://wwwapps.tc.gc.ca/Saf-Sec-Sur/2/CCARCS-RIACC/ADet.aspx?id=534818&amp;hs=N&amp;l=" TargetMode="External"/><Relationship Id="rId132" Type="http://schemas.openxmlformats.org/officeDocument/2006/relationships/hyperlink" Target="https://wwwapps.tc.gc.ca/Saf-Sec-Sur/2/CCARCS-RIACC/ADetHis.aspx?id=1101589&amp;m=FSRK" TargetMode="External"/><Relationship Id="rId174" Type="http://schemas.openxmlformats.org/officeDocument/2006/relationships/hyperlink" Target="https://wwwapps.tc.gc.ca/Saf-Sec-Sur/2/CCARCS-RIACC/ADetHis.aspx?id=1027395&amp;m=FKPX" TargetMode="External"/><Relationship Id="rId381" Type="http://schemas.openxmlformats.org/officeDocument/2006/relationships/hyperlink" Target="https://wwwapps.tc.gc.ca/Saf-Sec-Sur/2/CCARCS-RIACC/ADet.aspx?id=520164&amp;hs=N&amp;l=" TargetMode="External"/><Relationship Id="rId241" Type="http://schemas.openxmlformats.org/officeDocument/2006/relationships/hyperlink" Target="https://wwwapps.tc.gc.ca/Saf-Sec-Sur/2/CCARCS-RIACC/ADetHis.aspx?id=1280542&amp;m=GDGD" TargetMode="External"/><Relationship Id="rId36" Type="http://schemas.openxmlformats.org/officeDocument/2006/relationships/hyperlink" Target="https://wwwapps.tc.gc.ca/Saf-Sec-Sur/2/CCARCS-RIACC/ADetHis.aspx?id=1416670&amp;m=GNGI" TargetMode="External"/><Relationship Id="rId283" Type="http://schemas.openxmlformats.org/officeDocument/2006/relationships/hyperlink" Target="https://wwwapps.tc.gc.ca/Saf-Sec-Sur/2/CCARCS-RIACC/ADet.aspx?id=540153&amp;hs=N&amp;l=" TargetMode="External"/><Relationship Id="rId339" Type="http://schemas.openxmlformats.org/officeDocument/2006/relationships/hyperlink" Target="https://wwwapps.tc.gc.ca/Saf-Sec-Sur/2/CCARCS-RIACC/ADet.aspx?id=4542&amp;hs=N&amp;l=" TargetMode="External"/><Relationship Id="rId78" Type="http://schemas.openxmlformats.org/officeDocument/2006/relationships/hyperlink" Target="https://wwwapps.tc.gc.ca/Saf-Sec-Sur/2/CCARCS-RIACC/ADetHis.aspx?id=734227&amp;m=GMAE" TargetMode="External"/><Relationship Id="rId101" Type="http://schemas.openxmlformats.org/officeDocument/2006/relationships/hyperlink" Target="https://wwwapps.tc.gc.ca/Saf-Sec-Sur/2/CCARCS-RIACC/ADetHis.aspx?id=971257&amp;m=GECT" TargetMode="External"/><Relationship Id="rId143" Type="http://schemas.openxmlformats.org/officeDocument/2006/relationships/hyperlink" Target="https://wwwapps.tc.gc.ca/Saf-Sec-Sur/2/CCARCS-RIACC/ADetHis.aspx?id=950257&amp;m=FPCI" TargetMode="External"/><Relationship Id="rId185" Type="http://schemas.openxmlformats.org/officeDocument/2006/relationships/hyperlink" Target="https://wwwapps.tc.gc.ca/Saf-Sec-Sur/2/CCARCS-RIACC/ADetHis.aspx?id=79090&amp;m=FKAE" TargetMode="External"/><Relationship Id="rId350" Type="http://schemas.openxmlformats.org/officeDocument/2006/relationships/hyperlink" Target="https://wwwapps.tc.gc.ca/Saf-Sec-Sur/2/CCARCS-RIACC/ADet.aspx?id=10496&amp;hs=N&amp;l=" TargetMode="External"/><Relationship Id="rId9" Type="http://schemas.openxmlformats.org/officeDocument/2006/relationships/hyperlink" Target="https://wwwapps.tc.gc.ca/Saf-Sec-Sur/2/CCARCS-RIACC/ADetHis.aspx?id=1633301&amp;m=GBII" TargetMode="External"/><Relationship Id="rId210" Type="http://schemas.openxmlformats.org/officeDocument/2006/relationships/hyperlink" Target="https://wwwapps.tc.gc.ca/Saf-Sec-Sur/2/CCARCS-RIACC/ADetHis.aspx?id=1269064&amp;m=GPAI" TargetMode="External"/><Relationship Id="rId392" Type="http://schemas.openxmlformats.org/officeDocument/2006/relationships/hyperlink" Target="https://wwwapps.tc.gc.ca/Saf-Sec-Sur/2/CCARCS-RIACC/ADet.aspx?id=516698&amp;hs=N&amp;l=" TargetMode="External"/><Relationship Id="rId252" Type="http://schemas.openxmlformats.org/officeDocument/2006/relationships/hyperlink" Target="https://wwwapps.tc.gc.ca/Saf-Sec-Sur/2/CCARCS-RIACC/ADetHis.aspx?id=1211164&amp;m=FNGE" TargetMode="External"/><Relationship Id="rId294" Type="http://schemas.openxmlformats.org/officeDocument/2006/relationships/hyperlink" Target="https://wwwapps.tc.gc.ca/Saf-Sec-Sur/2/CCARCS-RIACC/ADet.aspx?id=539412&amp;hs=N&amp;l=" TargetMode="External"/><Relationship Id="rId308" Type="http://schemas.openxmlformats.org/officeDocument/2006/relationships/hyperlink" Target="https://wwwapps.tc.gc.ca/Saf-Sec-Sur/2/CCARCS-RIACC/ADet.aspx?id=519134&amp;hs=N&amp;l=" TargetMode="External"/><Relationship Id="rId47" Type="http://schemas.openxmlformats.org/officeDocument/2006/relationships/hyperlink" Target="https://wwwapps.tc.gc.ca/Saf-Sec-Sur/2/CCARCS-RIACC/ADetHis.aspx?id=1385897&amp;m=FYRH" TargetMode="External"/><Relationship Id="rId89" Type="http://schemas.openxmlformats.org/officeDocument/2006/relationships/hyperlink" Target="https://wwwapps.tc.gc.ca/Saf-Sec-Sur/2/CCARCS-RIACC/ADetHis.aspx?id=706166&amp;m=GKAY" TargetMode="External"/><Relationship Id="rId112" Type="http://schemas.openxmlformats.org/officeDocument/2006/relationships/hyperlink" Target="https://wwwapps.tc.gc.ca/Saf-Sec-Sur/2/CCARCS-RIACC/ADetHis.aspx?id=625413&amp;m=GBTL" TargetMode="External"/><Relationship Id="rId154" Type="http://schemas.openxmlformats.org/officeDocument/2006/relationships/hyperlink" Target="https://wwwapps.tc.gc.ca/Saf-Sec-Sur/2/CCARCS-RIACC/ADetHis.aspx?id=877251&amp;m=FMPF" TargetMode="External"/><Relationship Id="rId361" Type="http://schemas.openxmlformats.org/officeDocument/2006/relationships/hyperlink" Target="https://wwwapps.tc.gc.ca/Saf-Sec-Sur/2/CCARCS-RIACC/ADet.aspx?id=500149&amp;hs=N&amp;l=" TargetMode="External"/><Relationship Id="rId196" Type="http://schemas.openxmlformats.org/officeDocument/2006/relationships/hyperlink" Target="https://wwwapps.tc.gc.ca/Saf-Sec-Sur/2/CCARCS-RIACC/ADetHis.aspx?id=947441&amp;m=FCJV" TargetMode="External"/><Relationship Id="rId16" Type="http://schemas.openxmlformats.org/officeDocument/2006/relationships/hyperlink" Target="https://wwwapps.tc.gc.ca/Saf-Sec-Sur/2/CCARCS-RIACC/ADetHis.aspx?id=1551807&amp;m=FOPE" TargetMode="External"/><Relationship Id="rId221" Type="http://schemas.openxmlformats.org/officeDocument/2006/relationships/hyperlink" Target="https://wwwapps.tc.gc.ca/Saf-Sec-Sur/2/CCARCS-RIACC/ADetHis.aspx?id=1108079&amp;m=GKVT" TargetMode="External"/><Relationship Id="rId263" Type="http://schemas.openxmlformats.org/officeDocument/2006/relationships/hyperlink" Target="https://wwwapps.tc.gc.ca/Saf-Sec-Sur/2/CCARCS-RIACC/ADetHis.aspx?id=1231239&amp;m=FKVL" TargetMode="External"/><Relationship Id="rId319" Type="http://schemas.openxmlformats.org/officeDocument/2006/relationships/hyperlink" Target="https://wwwapps.tc.gc.ca/Saf-Sec-Sur/2/CCARCS-RIACC/ADet.aspx?id=536790&amp;hs=N&amp;l=" TargetMode="External"/><Relationship Id="rId58" Type="http://schemas.openxmlformats.org/officeDocument/2006/relationships/hyperlink" Target="https://wwwapps.tc.gc.ca/Saf-Sec-Sur/2/CCARCS-RIACC/ADetHis.aspx?id=1338145&amp;m=GSNG" TargetMode="External"/><Relationship Id="rId123" Type="http://schemas.openxmlformats.org/officeDocument/2006/relationships/hyperlink" Target="https://wwwapps.tc.gc.ca/Saf-Sec-Sur/2/CCARCS-RIACC/ADetHis.aspx?id=732927&amp;m=FVPC" TargetMode="External"/><Relationship Id="rId330" Type="http://schemas.openxmlformats.org/officeDocument/2006/relationships/hyperlink" Target="https://wwwapps.tc.gc.ca/Saf-Sec-Sur/2/CCARCS-RIACC/ADet.aspx?id=535077&amp;hs=N&amp;l=" TargetMode="External"/><Relationship Id="rId90" Type="http://schemas.openxmlformats.org/officeDocument/2006/relationships/hyperlink" Target="https://wwwapps.tc.gc.ca/Saf-Sec-Sur/2/CCARCS-RIACC/ADetHis.aspx?id=675443&amp;m=GKAY" TargetMode="External"/><Relationship Id="rId165" Type="http://schemas.openxmlformats.org/officeDocument/2006/relationships/hyperlink" Target="https://wwwapps.tc.gc.ca/Saf-Sec-Sur/2/CCARCS-RIACC/ADetHis.aspx?id=1007450&amp;m=FKUL" TargetMode="External"/><Relationship Id="rId186" Type="http://schemas.openxmlformats.org/officeDocument/2006/relationships/hyperlink" Target="https://wwwapps.tc.gc.ca/Saf-Sec-Sur/2/CCARCS-RIACC/ADetHis.aspx?id=83847&amp;m=FKAC" TargetMode="External"/><Relationship Id="rId351" Type="http://schemas.openxmlformats.org/officeDocument/2006/relationships/hyperlink" Target="https://wwwapps.tc.gc.ca/Saf-Sec-Sur/2/CCARCS-RIACC/ADet.aspx?id=504053&amp;hs=N&amp;l=" TargetMode="External"/><Relationship Id="rId372" Type="http://schemas.openxmlformats.org/officeDocument/2006/relationships/hyperlink" Target="https://wwwapps.tc.gc.ca/Saf-Sec-Sur/2/CCARCS-RIACC/ADet.aspx?id=525980&amp;hs=N&amp;l=" TargetMode="External"/><Relationship Id="rId393" Type="http://schemas.openxmlformats.org/officeDocument/2006/relationships/hyperlink" Target="https://wwwapps.tc.gc.ca/Saf-Sec-Sur/2/CCARCS-RIACC/ADet.aspx?id=516629&amp;hs=N&amp;l=" TargetMode="External"/><Relationship Id="rId211" Type="http://schemas.openxmlformats.org/officeDocument/2006/relationships/hyperlink" Target="https://wwwapps.tc.gc.ca/Saf-Sec-Sur/2/CCARCS-RIACC/ADetHis.aspx?id=1125514&amp;m=GOHI" TargetMode="External"/><Relationship Id="rId232" Type="http://schemas.openxmlformats.org/officeDocument/2006/relationships/hyperlink" Target="https://wwwapps.tc.gc.ca/Saf-Sec-Sur/2/CCARCS-RIACC/ADetHis.aspx?id=1187116&amp;m=GJRG" TargetMode="External"/><Relationship Id="rId253" Type="http://schemas.openxmlformats.org/officeDocument/2006/relationships/hyperlink" Target="https://wwwapps.tc.gc.ca/Saf-Sec-Sur/2/CCARCS-RIACC/ADetHis.aspx?id=1211152&amp;m=FNGE" TargetMode="External"/><Relationship Id="rId274" Type="http://schemas.openxmlformats.org/officeDocument/2006/relationships/hyperlink" Target="https://wwwapps.tc.gc.ca/Saf-Sec-Sur/2/CCARCS-RIACC/ADet.aspx?id=535557&amp;hs=N&amp;l=" TargetMode="External"/><Relationship Id="rId295" Type="http://schemas.openxmlformats.org/officeDocument/2006/relationships/hyperlink" Target="https://wwwapps.tc.gc.ca/Saf-Sec-Sur/2/CCARCS-RIACC/ADet.aspx?id=538568&amp;hs=N&amp;l=" TargetMode="External"/><Relationship Id="rId309" Type="http://schemas.openxmlformats.org/officeDocument/2006/relationships/hyperlink" Target="https://wwwapps.tc.gc.ca/Saf-Sec-Sur/2/CCARCS-RIACC/ADet.aspx?id=533369&amp;hs=N&amp;l=" TargetMode="External"/><Relationship Id="rId27" Type="http://schemas.openxmlformats.org/officeDocument/2006/relationships/hyperlink" Target="https://wwwapps.tc.gc.ca/Saf-Sec-Sur/2/CCARCS-RIACC/ADetHis.aspx?id=1491391&amp;m=GNGY" TargetMode="External"/><Relationship Id="rId48" Type="http://schemas.openxmlformats.org/officeDocument/2006/relationships/hyperlink" Target="https://wwwapps.tc.gc.ca/Saf-Sec-Sur/2/CCARCS-RIACC/ADetHis.aspx?id=1374990&amp;m=FPCL" TargetMode="External"/><Relationship Id="rId69" Type="http://schemas.openxmlformats.org/officeDocument/2006/relationships/hyperlink" Target="https://wwwapps.tc.gc.ca/Saf-Sec-Sur/2/CCARCS-RIACC/ADetHis.aspx?id=1043344&amp;m=GODE" TargetMode="External"/><Relationship Id="rId113" Type="http://schemas.openxmlformats.org/officeDocument/2006/relationships/hyperlink" Target="https://wwwapps.tc.gc.ca/Saf-Sec-Sur/2/CCARCS-RIACC/ADetHis.aspx?id=851545&amp;m=FYZS" TargetMode="External"/><Relationship Id="rId134" Type="http://schemas.openxmlformats.org/officeDocument/2006/relationships/hyperlink" Target="https://wwwapps.tc.gc.ca/Saf-Sec-Sur/2/CCARCS-RIACC/ADetHis.aspx?id=1053849&amp;m=FSRK" TargetMode="External"/><Relationship Id="rId320" Type="http://schemas.openxmlformats.org/officeDocument/2006/relationships/hyperlink" Target="https://wwwapps.tc.gc.ca/Saf-Sec-Sur/2/CCARCS-RIACC/ADet.aspx?id=531130&amp;hs=N&amp;l=" TargetMode="External"/><Relationship Id="rId80" Type="http://schemas.openxmlformats.org/officeDocument/2006/relationships/hyperlink" Target="https://wwwapps.tc.gc.ca/Saf-Sec-Sur/2/CCARCS-RIACC/ADetHis.aspx?id=1057508&amp;m=GKVT" TargetMode="External"/><Relationship Id="rId155" Type="http://schemas.openxmlformats.org/officeDocument/2006/relationships/hyperlink" Target="https://wwwapps.tc.gc.ca/Saf-Sec-Sur/2/CCARCS-RIACC/ADetHis.aspx?id=877243&amp;m=FMPF" TargetMode="External"/><Relationship Id="rId176" Type="http://schemas.openxmlformats.org/officeDocument/2006/relationships/hyperlink" Target="https://wwwapps.tc.gc.ca/Saf-Sec-Sur/2/CCARCS-RIACC/ADetHis.aspx?id=710802&amp;m=FKPX" TargetMode="External"/><Relationship Id="rId197" Type="http://schemas.openxmlformats.org/officeDocument/2006/relationships/hyperlink" Target="https://wwwapps.tc.gc.ca/Saf-Sec-Sur/2/CCARCS-RIACC/ADetHis.aspx?id=937655&amp;m=FCJV" TargetMode="External"/><Relationship Id="rId341" Type="http://schemas.openxmlformats.org/officeDocument/2006/relationships/hyperlink" Target="https://wwwapps.tc.gc.ca/Saf-Sec-Sur/2/CCARCS-RIACC/ADet.aspx?id=24419&amp;hs=N&amp;l=" TargetMode="External"/><Relationship Id="rId362" Type="http://schemas.openxmlformats.org/officeDocument/2006/relationships/hyperlink" Target="https://wwwapps.tc.gc.ca/Saf-Sec-Sur/2/CCARCS-RIACC/ADet.aspx?id=528091&amp;hs=N&amp;l=" TargetMode="External"/><Relationship Id="rId383" Type="http://schemas.openxmlformats.org/officeDocument/2006/relationships/hyperlink" Target="https://wwwapps.tc.gc.ca/Saf-Sec-Sur/2/CCARCS-RIACC/ADet.aspx?id=519829&amp;hs=N&amp;l=" TargetMode="External"/><Relationship Id="rId201" Type="http://schemas.openxmlformats.org/officeDocument/2006/relationships/hyperlink" Target="https://wwwapps.tc.gc.ca/Saf-Sec-Sur/2/CCARCS-RIACC/ADetHis.aspx?id=1103797&amp;m=FAXY" TargetMode="External"/><Relationship Id="rId222" Type="http://schemas.openxmlformats.org/officeDocument/2006/relationships/hyperlink" Target="https://wwwapps.tc.gc.ca/Saf-Sec-Sur/2/CCARCS-RIACC/ADetHis.aspx?id=1104037&amp;m=GKVT" TargetMode="External"/><Relationship Id="rId243" Type="http://schemas.openxmlformats.org/officeDocument/2006/relationships/hyperlink" Target="https://wwwapps.tc.gc.ca/Saf-Sec-Sur/2/CCARCS-RIACC/ADetHis.aspx?id=1104035&amp;m=GDGD" TargetMode="External"/><Relationship Id="rId264" Type="http://schemas.openxmlformats.org/officeDocument/2006/relationships/hyperlink" Target="https://wwwapps.tc.gc.ca/Saf-Sec-Sur/2/CCARCS-RIACC/ADetHis.aspx?id=1282886&amp;m=FIPC" TargetMode="External"/><Relationship Id="rId285" Type="http://schemas.openxmlformats.org/officeDocument/2006/relationships/hyperlink" Target="https://wwwapps.tc.gc.ca/Saf-Sec-Sur/2/CCARCS-RIACC/ADet.aspx?id=539760&amp;hs=N&amp;l=" TargetMode="External"/><Relationship Id="rId17" Type="http://schemas.openxmlformats.org/officeDocument/2006/relationships/hyperlink" Target="https://wwwapps.tc.gc.ca/Saf-Sec-Sur/2/CCARCS-RIACC/ADetHis.aspx?id=1543051&amp;m=GLAI" TargetMode="External"/><Relationship Id="rId38" Type="http://schemas.openxmlformats.org/officeDocument/2006/relationships/hyperlink" Target="https://wwwapps.tc.gc.ca/Saf-Sec-Sur/2/CCARCS-RIACC/ADetHis.aspx?id=1412194&amp;m=FKRB" TargetMode="External"/><Relationship Id="rId59" Type="http://schemas.openxmlformats.org/officeDocument/2006/relationships/hyperlink" Target="https://wwwapps.tc.gc.ca/Saf-Sec-Sur/2/CCARCS-RIACC/ADetHis.aspx?id=1326394&amp;m=GPNG" TargetMode="External"/><Relationship Id="rId103" Type="http://schemas.openxmlformats.org/officeDocument/2006/relationships/hyperlink" Target="https://wwwapps.tc.gc.ca/Saf-Sec-Sur/2/CCARCS-RIACC/ADetHis.aspx?id=938109&amp;m=GDGD" TargetMode="External"/><Relationship Id="rId124" Type="http://schemas.openxmlformats.org/officeDocument/2006/relationships/hyperlink" Target="https://wwwapps.tc.gc.ca/Saf-Sec-Sur/2/CCARCS-RIACC/ADetHis.aspx?id=727811&amp;m=FVPC" TargetMode="External"/><Relationship Id="rId310" Type="http://schemas.openxmlformats.org/officeDocument/2006/relationships/hyperlink" Target="https://wwwapps.tc.gc.ca/Saf-Sec-Sur/2/CCARCS-RIACC/ADet.aspx?id=538044&amp;hs=N&amp;l=" TargetMode="External"/><Relationship Id="rId70" Type="http://schemas.openxmlformats.org/officeDocument/2006/relationships/hyperlink" Target="https://wwwapps.tc.gc.ca/Saf-Sec-Sur/2/CCARCS-RIACC/ADetHis.aspx?id=848589&amp;m=GODE" TargetMode="External"/><Relationship Id="rId91" Type="http://schemas.openxmlformats.org/officeDocument/2006/relationships/hyperlink" Target="https://wwwapps.tc.gc.ca/Saf-Sec-Sur/2/CCARCS-RIACC/ADetHis.aspx?id=675417&amp;m=GKAY" TargetMode="External"/><Relationship Id="rId145" Type="http://schemas.openxmlformats.org/officeDocument/2006/relationships/hyperlink" Target="https://wwwapps.tc.gc.ca/Saf-Sec-Sur/2/CCARCS-RIACC/ADetHis.aspx?id=93230&amp;m=FPCI" TargetMode="External"/><Relationship Id="rId166" Type="http://schemas.openxmlformats.org/officeDocument/2006/relationships/hyperlink" Target="https://wwwapps.tc.gc.ca/Saf-Sec-Sur/2/CCARCS-RIACC/ADetHis.aspx?id=995023&amp;m=FKUL" TargetMode="External"/><Relationship Id="rId187" Type="http://schemas.openxmlformats.org/officeDocument/2006/relationships/hyperlink" Target="https://wwwapps.tc.gc.ca/Saf-Sec-Sur/2/CCARCS-RIACC/ADetHis.aspx?id=947437&amp;m=FIJV" TargetMode="External"/><Relationship Id="rId331" Type="http://schemas.openxmlformats.org/officeDocument/2006/relationships/hyperlink" Target="https://wwwapps.tc.gc.ca/Saf-Sec-Sur/2/CCARCS-RIACC/ADet.aspx?id=535064&amp;hs=N&amp;l=" TargetMode="External"/><Relationship Id="rId352" Type="http://schemas.openxmlformats.org/officeDocument/2006/relationships/hyperlink" Target="https://wwwapps.tc.gc.ca/Saf-Sec-Sur/2/CCARCS-RIACC/ADet.aspx?id=508406&amp;hs=N&amp;l=" TargetMode="External"/><Relationship Id="rId373" Type="http://schemas.openxmlformats.org/officeDocument/2006/relationships/hyperlink" Target="https://wwwapps.tc.gc.ca/Saf-Sec-Sur/2/CCARCS-RIACC/ADet.aspx?id=525915&amp;hs=N&amp;l=" TargetMode="External"/><Relationship Id="rId394" Type="http://schemas.openxmlformats.org/officeDocument/2006/relationships/hyperlink" Target="https://wwwapps.tc.gc.ca/Saf-Sec-Sur/2/CCARCS-RIACC/ADet.aspx?id=516270&amp;hs=N&amp;l=" TargetMode="External"/><Relationship Id="rId1" Type="http://schemas.openxmlformats.org/officeDocument/2006/relationships/hyperlink" Target="https://wwwapps.tc.gc.ca/Saf-Sec-Sur/2/CCARCS-RIACC/ADetHis.aspx?id=1658409&amp;m=FSNC" TargetMode="External"/><Relationship Id="rId212" Type="http://schemas.openxmlformats.org/officeDocument/2006/relationships/hyperlink" Target="https://wwwapps.tc.gc.ca/Saf-Sec-Sur/2/CCARCS-RIACC/ADetHis.aspx?id=1114901&amp;m=GOHI" TargetMode="External"/><Relationship Id="rId233" Type="http://schemas.openxmlformats.org/officeDocument/2006/relationships/hyperlink" Target="https://wwwapps.tc.gc.ca/Saf-Sec-Sur/2/CCARCS-RIACC/ADetHis.aspx?id=1187114&amp;m=GJRG" TargetMode="External"/><Relationship Id="rId254" Type="http://schemas.openxmlformats.org/officeDocument/2006/relationships/hyperlink" Target="https://wwwapps.tc.gc.ca/Saf-Sec-Sur/2/CCARCS-RIACC/ADetHis.aspx?id=1254477&amp;m=FMPE" TargetMode="External"/><Relationship Id="rId28" Type="http://schemas.openxmlformats.org/officeDocument/2006/relationships/hyperlink" Target="https://wwwapps.tc.gc.ca/Saf-Sec-Sur/2/CCARCS-RIACC/ADetHis.aspx?id=1473536&amp;m=GXCR" TargetMode="External"/><Relationship Id="rId49" Type="http://schemas.openxmlformats.org/officeDocument/2006/relationships/hyperlink" Target="https://wwwapps.tc.gc.ca/Saf-Sec-Sur/2/CCARCS-RIACC/ADetHis.aspx?id=1374890&amp;m=FWAL" TargetMode="External"/><Relationship Id="rId114" Type="http://schemas.openxmlformats.org/officeDocument/2006/relationships/hyperlink" Target="https://wwwapps.tc.gc.ca/Saf-Sec-Sur/2/CCARCS-RIACC/ADetHis.aspx?id=839409&amp;m=FYZS" TargetMode="External"/><Relationship Id="rId275" Type="http://schemas.openxmlformats.org/officeDocument/2006/relationships/hyperlink" Target="https://wwwapps.tc.gc.ca/Saf-Sec-Sur/2/CCARCS-RIACC/ADet.aspx?id=521645&amp;hs=N&amp;l=" TargetMode="External"/><Relationship Id="rId296" Type="http://schemas.openxmlformats.org/officeDocument/2006/relationships/hyperlink" Target="https://wwwapps.tc.gc.ca/Saf-Sec-Sur/2/CCARCS-RIACC/ADet.aspx?id=531145&amp;hs=N&amp;l=" TargetMode="External"/><Relationship Id="rId300" Type="http://schemas.openxmlformats.org/officeDocument/2006/relationships/hyperlink" Target="https://wwwapps.tc.gc.ca/Saf-Sec-Sur/2/CCARCS-RIACC/ADet.aspx?id=538833&amp;hs=N&amp;l=" TargetMode="External"/><Relationship Id="rId60" Type="http://schemas.openxmlformats.org/officeDocument/2006/relationships/hyperlink" Target="https://wwwapps.tc.gc.ca/Saf-Sec-Sur/2/CCARCS-RIACC/ADetHis.aspx?id=1315165&amp;m=GPNG" TargetMode="External"/><Relationship Id="rId81" Type="http://schemas.openxmlformats.org/officeDocument/2006/relationships/hyperlink" Target="https://wwwapps.tc.gc.ca/Saf-Sec-Sur/2/CCARCS-RIACC/ADetHis.aspx?id=1056865&amp;m=GKVT" TargetMode="External"/><Relationship Id="rId135" Type="http://schemas.openxmlformats.org/officeDocument/2006/relationships/hyperlink" Target="https://wwwapps.tc.gc.ca/Saf-Sec-Sur/2/CCARCS-RIACC/ADetHis.aspx?id=1036218&amp;m=FPNG" TargetMode="External"/><Relationship Id="rId156" Type="http://schemas.openxmlformats.org/officeDocument/2006/relationships/hyperlink" Target="https://wwwapps.tc.gc.ca/Saf-Sec-Sur/2/CCARCS-RIACC/ADetHis.aspx?id=1000709&amp;m=FMPA" TargetMode="External"/><Relationship Id="rId177" Type="http://schemas.openxmlformats.org/officeDocument/2006/relationships/hyperlink" Target="https://wwwapps.tc.gc.ca/Saf-Sec-Sur/2/CCARCS-RIACC/ADetHis.aspx?id=665673&amp;m=FKPX" TargetMode="External"/><Relationship Id="rId198" Type="http://schemas.openxmlformats.org/officeDocument/2006/relationships/hyperlink" Target="https://wwwapps.tc.gc.ca/Saf-Sec-Sur/2/CCARCS-RIACC/ADetHis.aspx?id=811373&amp;m=FCJV" TargetMode="External"/><Relationship Id="rId321" Type="http://schemas.openxmlformats.org/officeDocument/2006/relationships/hyperlink" Target="https://wwwapps.tc.gc.ca/Saf-Sec-Sur/2/CCARCS-RIACC/ADet.aspx?id=536251&amp;hs=N&amp;l=" TargetMode="External"/><Relationship Id="rId342" Type="http://schemas.openxmlformats.org/officeDocument/2006/relationships/hyperlink" Target="https://wwwapps.tc.gc.ca/Saf-Sec-Sur/2/CCARCS-RIACC/ADet.aspx?id=27442&amp;hs=N&amp;l=" TargetMode="External"/><Relationship Id="rId363" Type="http://schemas.openxmlformats.org/officeDocument/2006/relationships/hyperlink" Target="https://wwwapps.tc.gc.ca/Saf-Sec-Sur/2/CCARCS-RIACC/ADet.aspx?id=27888&amp;hs=N&amp;l=" TargetMode="External"/><Relationship Id="rId384" Type="http://schemas.openxmlformats.org/officeDocument/2006/relationships/hyperlink" Target="https://wwwapps.tc.gc.ca/Saf-Sec-Sur/2/CCARCS-RIACC/ADet.aspx?id=519462&amp;hs=N&amp;l=" TargetMode="External"/><Relationship Id="rId202" Type="http://schemas.openxmlformats.org/officeDocument/2006/relationships/hyperlink" Target="https://wwwapps.tc.gc.ca/Saf-Sec-Sur/2/CCARCS-RIACC/ADetHis.aspx?id=1093968&amp;m=FAXY" TargetMode="External"/><Relationship Id="rId223" Type="http://schemas.openxmlformats.org/officeDocument/2006/relationships/hyperlink" Target="https://wwwapps.tc.gc.ca/Saf-Sec-Sur/2/CCARCS-RIACC/ADetHis.aspx?id=1267743&amp;m=GKRY" TargetMode="External"/><Relationship Id="rId244" Type="http://schemas.openxmlformats.org/officeDocument/2006/relationships/hyperlink" Target="https://wwwapps.tc.gc.ca/Saf-Sec-Sur/2/CCARCS-RIACC/ADetHis.aspx?id=1230264&amp;m=GBXW" TargetMode="External"/><Relationship Id="rId18" Type="http://schemas.openxmlformats.org/officeDocument/2006/relationships/hyperlink" Target="https://wwwapps.tc.gc.ca/Saf-Sec-Sur/2/CCARCS-RIACC/ADetHis.aspx?id=1543043&amp;m=GKAY" TargetMode="External"/><Relationship Id="rId39" Type="http://schemas.openxmlformats.org/officeDocument/2006/relationships/hyperlink" Target="https://wwwapps.tc.gc.ca/Saf-Sec-Sur/2/CCARCS-RIACC/ADetHis.aspx?id=1412010&amp;m=FING" TargetMode="External"/><Relationship Id="rId265" Type="http://schemas.openxmlformats.org/officeDocument/2006/relationships/hyperlink" Target="https://wwwapps.tc.gc.ca/Saf-Sec-Sur/2/CCARCS-RIACC/ADetHis.aspx?id=1274249&amp;m=FIPC" TargetMode="External"/><Relationship Id="rId286" Type="http://schemas.openxmlformats.org/officeDocument/2006/relationships/hyperlink" Target="https://wwwapps.tc.gc.ca/Saf-Sec-Sur/2/CCARCS-RIACC/ADet.aspx?id=539755&amp;hs=N&amp;l=" TargetMode="External"/><Relationship Id="rId50" Type="http://schemas.openxmlformats.org/officeDocument/2006/relationships/hyperlink" Target="https://wwwapps.tc.gc.ca/Saf-Sec-Sur/2/CCARCS-RIACC/ADetHis.aspx?id=1374888&amp;m=FWAL" TargetMode="External"/><Relationship Id="rId104" Type="http://schemas.openxmlformats.org/officeDocument/2006/relationships/hyperlink" Target="https://wwwapps.tc.gc.ca/Saf-Sec-Sur/2/CCARCS-RIACC/ADetHis.aspx?id=727613&amp;m=GDGD" TargetMode="External"/><Relationship Id="rId125" Type="http://schemas.openxmlformats.org/officeDocument/2006/relationships/hyperlink" Target="https://wwwapps.tc.gc.ca/Saf-Sec-Sur/2/CCARCS-RIACC/ADetHis.aspx?id=727809&amp;m=FVPC" TargetMode="External"/><Relationship Id="rId146" Type="http://schemas.openxmlformats.org/officeDocument/2006/relationships/hyperlink" Target="https://wwwapps.tc.gc.ca/Saf-Sec-Sur/2/CCARCS-RIACC/ADetHis.aspx?id=91471&amp;m=FNAS" TargetMode="External"/><Relationship Id="rId167" Type="http://schemas.openxmlformats.org/officeDocument/2006/relationships/hyperlink" Target="https://wwwapps.tc.gc.ca/Saf-Sec-Sur/2/CCARCS-RIACC/ADetHis.aspx?id=967601&amp;m=FKUL" TargetMode="External"/><Relationship Id="rId188" Type="http://schemas.openxmlformats.org/officeDocument/2006/relationships/hyperlink" Target="https://wwwapps.tc.gc.ca/Saf-Sec-Sur/2/CCARCS-RIACC/ADetHis.aspx?id=947433&amp;m=FIJV" TargetMode="External"/><Relationship Id="rId311" Type="http://schemas.openxmlformats.org/officeDocument/2006/relationships/hyperlink" Target="https://wwwapps.tc.gc.ca/Saf-Sec-Sur/2/CCARCS-RIACC/ADet.aspx?id=538006&amp;hs=N&amp;l=" TargetMode="External"/><Relationship Id="rId332" Type="http://schemas.openxmlformats.org/officeDocument/2006/relationships/hyperlink" Target="https://wwwapps.tc.gc.ca/Saf-Sec-Sur/2/CCARCS-RIACC/ADet.aspx?id=533234&amp;hs=N&amp;l=" TargetMode="External"/><Relationship Id="rId353" Type="http://schemas.openxmlformats.org/officeDocument/2006/relationships/hyperlink" Target="https://wwwapps.tc.gc.ca/Saf-Sec-Sur/2/CCARCS-RIACC/ADet.aspx?id=27433&amp;hs=N&amp;l=" TargetMode="External"/><Relationship Id="rId374" Type="http://schemas.openxmlformats.org/officeDocument/2006/relationships/hyperlink" Target="https://wwwapps.tc.gc.ca/Saf-Sec-Sur/2/CCARCS-RIACC/ADet.aspx?id=524188&amp;hs=N&amp;l=" TargetMode="External"/><Relationship Id="rId395" Type="http://schemas.openxmlformats.org/officeDocument/2006/relationships/hyperlink" Target="https://wwwapps.tc.gc.ca/Saf-Sec-Sur/2/CCARCS-RIACC/ADet.aspx?id=516208&amp;hs=N&amp;l=" TargetMode="External"/><Relationship Id="rId71" Type="http://schemas.openxmlformats.org/officeDocument/2006/relationships/hyperlink" Target="https://wwwapps.tc.gc.ca/Saf-Sec-Sur/2/CCARCS-RIACC/ADetHis.aspx?id=848585&amp;m=GODE" TargetMode="External"/><Relationship Id="rId92" Type="http://schemas.openxmlformats.org/officeDocument/2006/relationships/hyperlink" Target="https://wwwapps.tc.gc.ca/Saf-Sec-Sur/2/CCARCS-RIACC/ADetHis.aspx?id=88569&amp;m=GKAY" TargetMode="External"/><Relationship Id="rId213" Type="http://schemas.openxmlformats.org/officeDocument/2006/relationships/hyperlink" Target="https://wwwapps.tc.gc.ca/Saf-Sec-Sur/2/CCARCS-RIACC/ADetHis.aspx?id=1114859&amp;m=GOHI" TargetMode="External"/><Relationship Id="rId234" Type="http://schemas.openxmlformats.org/officeDocument/2006/relationships/hyperlink" Target="https://wwwapps.tc.gc.ca/Saf-Sec-Sur/2/CCARCS-RIACC/ADetHis.aspx?id=1239644&amp;m=GHPF" TargetMode="External"/><Relationship Id="rId2" Type="http://schemas.openxmlformats.org/officeDocument/2006/relationships/hyperlink" Target="https://wwwapps.tc.gc.ca/Saf-Sec-Sur/2/CCARCS-RIACC/ADetHis.aspx?id=1655003&amp;m=GLAI" TargetMode="External"/><Relationship Id="rId29" Type="http://schemas.openxmlformats.org/officeDocument/2006/relationships/hyperlink" Target="https://wwwapps.tc.gc.ca/Saf-Sec-Sur/2/CCARCS-RIACC/ADetHis.aspx?id=1468808&amp;m=GXCR" TargetMode="External"/><Relationship Id="rId255" Type="http://schemas.openxmlformats.org/officeDocument/2006/relationships/hyperlink" Target="https://wwwapps.tc.gc.ca/Saf-Sec-Sur/2/CCARCS-RIACC/ADetHis.aspx?id=1254473&amp;m=FMPE" TargetMode="External"/><Relationship Id="rId276" Type="http://schemas.openxmlformats.org/officeDocument/2006/relationships/hyperlink" Target="https://wwwapps.tc.gc.ca/Saf-Sec-Sur/2/CCARCS-RIACC/ADet.aspx?id=540727&amp;hs=N&amp;l=" TargetMode="External"/><Relationship Id="rId297" Type="http://schemas.openxmlformats.org/officeDocument/2006/relationships/hyperlink" Target="https://wwwapps.tc.gc.ca/Saf-Sec-Sur/2/CCARCS-RIACC/ADet.aspx?id=27737&amp;hs=N&amp;l=" TargetMode="External"/><Relationship Id="rId40" Type="http://schemas.openxmlformats.org/officeDocument/2006/relationships/hyperlink" Target="https://wwwapps.tc.gc.ca/Saf-Sec-Sur/2/CCARCS-RIACC/ADetHis.aspx?id=1395297&amp;m=FING" TargetMode="External"/><Relationship Id="rId115" Type="http://schemas.openxmlformats.org/officeDocument/2006/relationships/hyperlink" Target="https://wwwapps.tc.gc.ca/Saf-Sec-Sur/2/CCARCS-RIACC/ADetHis.aspx?id=84371&amp;m=FYUT" TargetMode="External"/><Relationship Id="rId136" Type="http://schemas.openxmlformats.org/officeDocument/2006/relationships/hyperlink" Target="https://wwwapps.tc.gc.ca/Saf-Sec-Sur/2/CCARCS-RIACC/ADetHis.aspx?id=1027401&amp;m=FPNG" TargetMode="External"/><Relationship Id="rId157" Type="http://schemas.openxmlformats.org/officeDocument/2006/relationships/hyperlink" Target="https://wwwapps.tc.gc.ca/Saf-Sec-Sur/2/CCARCS-RIACC/ADetHis.aspx?id=1000665&amp;m=FMPA" TargetMode="External"/><Relationship Id="rId178" Type="http://schemas.openxmlformats.org/officeDocument/2006/relationships/hyperlink" Target="https://wwwapps.tc.gc.ca/Saf-Sec-Sur/2/CCARCS-RIACC/ADetHis.aspx?id=85983&amp;m=FKPI" TargetMode="External"/><Relationship Id="rId301" Type="http://schemas.openxmlformats.org/officeDocument/2006/relationships/hyperlink" Target="https://wwwapps.tc.gc.ca/Saf-Sec-Sur/2/CCARCS-RIACC/ADet.aspx?id=27108&amp;hs=N&amp;l=" TargetMode="External"/><Relationship Id="rId322" Type="http://schemas.openxmlformats.org/officeDocument/2006/relationships/hyperlink" Target="https://wwwapps.tc.gc.ca/Saf-Sec-Sur/2/CCARCS-RIACC/ADet.aspx?id=530785&amp;hs=N&amp;l=" TargetMode="External"/><Relationship Id="rId343" Type="http://schemas.openxmlformats.org/officeDocument/2006/relationships/hyperlink" Target="https://wwwapps.tc.gc.ca/Saf-Sec-Sur/2/CCARCS-RIACC/ADet.aspx?id=533321&amp;hs=N&amp;l=" TargetMode="External"/><Relationship Id="rId364" Type="http://schemas.openxmlformats.org/officeDocument/2006/relationships/hyperlink" Target="https://wwwapps.tc.gc.ca/Saf-Sec-Sur/2/CCARCS-RIACC/ADet.aspx?id=27588&amp;hs=N&amp;l=" TargetMode="External"/><Relationship Id="rId61" Type="http://schemas.openxmlformats.org/officeDocument/2006/relationships/hyperlink" Target="https://wwwapps.tc.gc.ca/Saf-Sec-Sur/2/CCARCS-RIACC/ADetHis.aspx?id=962937&amp;m=GVKC" TargetMode="External"/><Relationship Id="rId82" Type="http://schemas.openxmlformats.org/officeDocument/2006/relationships/hyperlink" Target="https://wwwapps.tc.gc.ca/Saf-Sec-Sur/2/CCARCS-RIACC/ADetHis.aspx?id=997815&amp;m=GKRY" TargetMode="External"/><Relationship Id="rId199" Type="http://schemas.openxmlformats.org/officeDocument/2006/relationships/hyperlink" Target="https://wwwapps.tc.gc.ca/Saf-Sec-Sur/2/CCARCS-RIACC/ADetHis.aspx?id=785647&amp;m=FCJV" TargetMode="External"/><Relationship Id="rId203" Type="http://schemas.openxmlformats.org/officeDocument/2006/relationships/hyperlink" Target="https://wwwapps.tc.gc.ca/Saf-Sec-Sur/2/CCARCS-RIACC/ADetHis.aspx?id=1272170&amp;m=GVKC" TargetMode="External"/><Relationship Id="rId385" Type="http://schemas.openxmlformats.org/officeDocument/2006/relationships/hyperlink" Target="https://wwwapps.tc.gc.ca/Saf-Sec-Sur/2/CCARCS-RIACC/ADet.aspx?id=518507&amp;hs=N&amp;l=" TargetMode="External"/><Relationship Id="rId19" Type="http://schemas.openxmlformats.org/officeDocument/2006/relationships/hyperlink" Target="https://wwwapps.tc.gc.ca/Saf-Sec-Sur/2/CCARCS-RIACC/ADetHis.aspx?id=1541197&amp;m=GKAY" TargetMode="External"/><Relationship Id="rId224" Type="http://schemas.openxmlformats.org/officeDocument/2006/relationships/hyperlink" Target="https://wwwapps.tc.gc.ca/Saf-Sec-Sur/2/CCARCS-RIACC/ADetHis.aspx?id=1104041&amp;m=GKRY" TargetMode="External"/><Relationship Id="rId245" Type="http://schemas.openxmlformats.org/officeDocument/2006/relationships/hyperlink" Target="https://wwwapps.tc.gc.ca/Saf-Sec-Sur/2/CCARCS-RIACC/ADetHis.aspx?id=1269056&amp;m=FVPK" TargetMode="External"/><Relationship Id="rId266" Type="http://schemas.openxmlformats.org/officeDocument/2006/relationships/hyperlink" Target="https://wwwapps.tc.gc.ca/Saf-Sec-Sur/2/CCARCS-RIACC/ADetHis.aspx?id=1274157&amp;m=FIPC" TargetMode="External"/><Relationship Id="rId287" Type="http://schemas.openxmlformats.org/officeDocument/2006/relationships/hyperlink" Target="https://wwwapps.tc.gc.ca/Saf-Sec-Sur/2/CCARCS-RIACC/ADet.aspx?id=515421&amp;hs=N&amp;l=" TargetMode="External"/><Relationship Id="rId30" Type="http://schemas.openxmlformats.org/officeDocument/2006/relationships/hyperlink" Target="https://wwwapps.tc.gc.ca/Saf-Sec-Sur/2/CCARCS-RIACC/ADetHis.aspx?id=1468802&amp;m=GDGD" TargetMode="External"/><Relationship Id="rId105" Type="http://schemas.openxmlformats.org/officeDocument/2006/relationships/hyperlink" Target="https://wwwapps.tc.gc.ca/Saf-Sec-Sur/2/CCARCS-RIACC/ADetHis.aspx?id=701708&amp;m=GDGD" TargetMode="External"/><Relationship Id="rId126" Type="http://schemas.openxmlformats.org/officeDocument/2006/relationships/hyperlink" Target="https://wwwapps.tc.gc.ca/Saf-Sec-Sur/2/CCARCS-RIACC/ADetHis.aspx?id=709056&amp;m=FVPC" TargetMode="External"/><Relationship Id="rId147" Type="http://schemas.openxmlformats.org/officeDocument/2006/relationships/hyperlink" Target="https://wwwapps.tc.gc.ca/Saf-Sec-Sur/2/CCARCS-RIACC/ADetHis.aspx?id=1073263&amp;m=FMPN" TargetMode="External"/><Relationship Id="rId168" Type="http://schemas.openxmlformats.org/officeDocument/2006/relationships/hyperlink" Target="https://wwwapps.tc.gc.ca/Saf-Sec-Sur/2/CCARCS-RIACC/ADetHis.aspx?id=939837&amp;m=FKUL" TargetMode="External"/><Relationship Id="rId312" Type="http://schemas.openxmlformats.org/officeDocument/2006/relationships/hyperlink" Target="https://wwwapps.tc.gc.ca/Saf-Sec-Sur/2/CCARCS-RIACC/ADet.aspx?id=537927&amp;hs=N&amp;l=" TargetMode="External"/><Relationship Id="rId333" Type="http://schemas.openxmlformats.org/officeDocument/2006/relationships/hyperlink" Target="https://wwwapps.tc.gc.ca/Saf-Sec-Sur/2/CCARCS-RIACC/ADet.aspx?id=508436&amp;hs=N&amp;l=" TargetMode="External"/><Relationship Id="rId354" Type="http://schemas.openxmlformats.org/officeDocument/2006/relationships/hyperlink" Target="https://wwwapps.tc.gc.ca/Saf-Sec-Sur/2/CCARCS-RIACC/ADet.aspx?id=522232&amp;hs=N&amp;l=" TargetMode="External"/><Relationship Id="rId51" Type="http://schemas.openxmlformats.org/officeDocument/2006/relationships/hyperlink" Target="https://wwwapps.tc.gc.ca/Saf-Sec-Sur/2/CCARCS-RIACC/ADetHis.aspx?id=1368780&amp;m=FYRH" TargetMode="External"/><Relationship Id="rId72" Type="http://schemas.openxmlformats.org/officeDocument/2006/relationships/hyperlink" Target="https://wwwapps.tc.gc.ca/Saf-Sec-Sur/2/CCARCS-RIACC/ADetHis.aspx?id=1093776&amp;m=GMPW" TargetMode="External"/><Relationship Id="rId93" Type="http://schemas.openxmlformats.org/officeDocument/2006/relationships/hyperlink" Target="https://wwwapps.tc.gc.ca/Saf-Sec-Sur/2/CCARCS-RIACC/ADetHis.aspx?id=1079686&amp;m=GFLA" TargetMode="External"/><Relationship Id="rId189" Type="http://schemas.openxmlformats.org/officeDocument/2006/relationships/hyperlink" Target="https://wwwapps.tc.gc.ca/Saf-Sec-Sur/2/CCARCS-RIACC/ADetHis.aspx?id=937673&amp;m=FIJV" TargetMode="External"/><Relationship Id="rId375" Type="http://schemas.openxmlformats.org/officeDocument/2006/relationships/hyperlink" Target="https://wwwapps.tc.gc.ca/Saf-Sec-Sur/2/CCARCS-RIACC/ADet.aspx?id=27941&amp;hs=N&amp;l=" TargetMode="External"/><Relationship Id="rId396" Type="http://schemas.openxmlformats.org/officeDocument/2006/relationships/hyperlink" Target="https://wwwapps.tc.gc.ca/Saf-Sec-Sur/2/CCARCS-RIACC/ADet.aspx?id=515308&amp;hs=N&amp;l=" TargetMode="External"/><Relationship Id="rId3" Type="http://schemas.openxmlformats.org/officeDocument/2006/relationships/hyperlink" Target="https://wwwapps.tc.gc.ca/Saf-Sec-Sur/2/CCARCS-RIACC/ADetHis.aspx?id=1654997&amp;m=FPCI" TargetMode="External"/><Relationship Id="rId214" Type="http://schemas.openxmlformats.org/officeDocument/2006/relationships/hyperlink" Target="https://wwwapps.tc.gc.ca/Saf-Sec-Sur/2/CCARCS-RIACC/ADetHis.aspx?id=1161062&amp;m=GMQZ" TargetMode="External"/><Relationship Id="rId235" Type="http://schemas.openxmlformats.org/officeDocument/2006/relationships/hyperlink" Target="https://wwwapps.tc.gc.ca/Saf-Sec-Sur/2/CCARCS-RIACC/ADetHis.aspx?id=1218640&amp;m=GHPF" TargetMode="External"/><Relationship Id="rId256" Type="http://schemas.openxmlformats.org/officeDocument/2006/relationships/hyperlink" Target="https://wwwapps.tc.gc.ca/Saf-Sec-Sur/2/CCARCS-RIACC/ADetHis.aspx?id=1251544&amp;m=FMPE" TargetMode="External"/><Relationship Id="rId277" Type="http://schemas.openxmlformats.org/officeDocument/2006/relationships/hyperlink" Target="https://wwwapps.tc.gc.ca/Saf-Sec-Sur/2/CCARCS-RIACC/ADet.aspx?id=536764&amp;hs=N&amp;l=" TargetMode="External"/><Relationship Id="rId298" Type="http://schemas.openxmlformats.org/officeDocument/2006/relationships/hyperlink" Target="https://wwwapps.tc.gc.ca/Saf-Sec-Sur/2/CCARCS-RIACC/ADet.aspx?id=501312&amp;hs=N&amp;l=" TargetMode="External"/><Relationship Id="rId400" Type="http://schemas.openxmlformats.org/officeDocument/2006/relationships/hyperlink" Target="https://wwwapps.tc.gc.ca/Saf-Sec-Sur/2/CCARCS-RIACC/ADet.aspx?id=25794&amp;hs=N&amp;l=" TargetMode="External"/><Relationship Id="rId116" Type="http://schemas.openxmlformats.org/officeDocument/2006/relationships/hyperlink" Target="https://wwwapps.tc.gc.ca/Saf-Sec-Sur/2/CCARCS-RIACC/ADetHis.aspx?id=1092928&amp;m=FXAB" TargetMode="External"/><Relationship Id="rId137" Type="http://schemas.openxmlformats.org/officeDocument/2006/relationships/hyperlink" Target="https://wwwapps.tc.gc.ca/Saf-Sec-Sur/2/CCARCS-RIACC/ADetHis.aspx?id=1027391&amp;m=FPNG" TargetMode="External"/><Relationship Id="rId158" Type="http://schemas.openxmlformats.org/officeDocument/2006/relationships/hyperlink" Target="https://wwwapps.tc.gc.ca/Saf-Sec-Sur/2/CCARCS-RIACC/ADetHis.aspx?id=90219&amp;m=FMDF" TargetMode="External"/><Relationship Id="rId302" Type="http://schemas.openxmlformats.org/officeDocument/2006/relationships/hyperlink" Target="https://wwwapps.tc.gc.ca/Saf-Sec-Sur/2/CCARCS-RIACC/ADet.aspx?id=538708&amp;hs=N&amp;l=" TargetMode="External"/><Relationship Id="rId323" Type="http://schemas.openxmlformats.org/officeDocument/2006/relationships/hyperlink" Target="https://wwwapps.tc.gc.ca/Saf-Sec-Sur/2/CCARCS-RIACC/ADet.aspx?id=535283&amp;hs=N&amp;l=" TargetMode="External"/><Relationship Id="rId344" Type="http://schemas.openxmlformats.org/officeDocument/2006/relationships/hyperlink" Target="https://wwwapps.tc.gc.ca/Saf-Sec-Sur/2/CCARCS-RIACC/ADet.aspx?id=531959&amp;hs=N&amp;l=" TargetMode="External"/><Relationship Id="rId20" Type="http://schemas.openxmlformats.org/officeDocument/2006/relationships/hyperlink" Target="https://wwwapps.tc.gc.ca/Saf-Sec-Sur/2/CCARCS-RIACC/ADetHis.aspx?id=1512645&amp;m=FANJ" TargetMode="External"/><Relationship Id="rId41" Type="http://schemas.openxmlformats.org/officeDocument/2006/relationships/hyperlink" Target="https://wwwapps.tc.gc.ca/Saf-Sec-Sur/2/CCARCS-RIACC/ADetHis.aspx?id=1395291&amp;m=FING" TargetMode="External"/><Relationship Id="rId62" Type="http://schemas.openxmlformats.org/officeDocument/2006/relationships/hyperlink" Target="https://wwwapps.tc.gc.ca/Saf-Sec-Sur/2/CCARCS-RIACC/ADetHis.aspx?id=927575&amp;m=GVKC" TargetMode="External"/><Relationship Id="rId83" Type="http://schemas.openxmlformats.org/officeDocument/2006/relationships/hyperlink" Target="https://wwwapps.tc.gc.ca/Saf-Sec-Sur/2/CCARCS-RIACC/ADetHis.aspx?id=92799&amp;m=GKPL" TargetMode="External"/><Relationship Id="rId179" Type="http://schemas.openxmlformats.org/officeDocument/2006/relationships/hyperlink" Target="https://wwwapps.tc.gc.ca/Saf-Sec-Sur/2/CCARCS-RIACC/ADetHis.aspx?id=84721&amp;m=FKPI" TargetMode="External"/><Relationship Id="rId365" Type="http://schemas.openxmlformats.org/officeDocument/2006/relationships/hyperlink" Target="https://wwwapps.tc.gc.ca/Saf-Sec-Sur/2/CCARCS-RIACC/ADet.aspx?id=520186&amp;hs=N&amp;l=" TargetMode="External"/><Relationship Id="rId386" Type="http://schemas.openxmlformats.org/officeDocument/2006/relationships/hyperlink" Target="https://wwwapps.tc.gc.ca/Saf-Sec-Sur/2/CCARCS-RIACC/ADet.aspx?id=517608&amp;hs=N&amp;l=" TargetMode="External"/><Relationship Id="rId190" Type="http://schemas.openxmlformats.org/officeDocument/2006/relationships/hyperlink" Target="https://wwwapps.tc.gc.ca/Saf-Sec-Sur/2/CCARCS-RIACC/ADetHis.aspx?id=85450&amp;m=FGRE" TargetMode="External"/><Relationship Id="rId204" Type="http://schemas.openxmlformats.org/officeDocument/2006/relationships/hyperlink" Target="https://wwwapps.tc.gc.ca/Saf-Sec-Sur/2/CCARCS-RIACC/ADetHis.aspx?id=1134436&amp;m=GVKC" TargetMode="External"/><Relationship Id="rId225" Type="http://schemas.openxmlformats.org/officeDocument/2006/relationships/hyperlink" Target="https://wwwapps.tc.gc.ca/Saf-Sec-Sur/2/CCARCS-RIACC/ADetHis.aspx?id=1137362&amp;m=GKAY" TargetMode="External"/><Relationship Id="rId246" Type="http://schemas.openxmlformats.org/officeDocument/2006/relationships/hyperlink" Target="https://wwwapps.tc.gc.ca/Saf-Sec-Sur/2/CCARCS-RIACC/ADetHis.aspx?id=1104043&amp;m=FVPK" TargetMode="External"/><Relationship Id="rId267" Type="http://schemas.openxmlformats.org/officeDocument/2006/relationships/hyperlink" Target="https://wwwapps.tc.gc.ca/Saf-Sec-Sur/2/CCARCS-RIACC/ADetHis.aspx?id=1234964&amp;m=FCVD" TargetMode="External"/><Relationship Id="rId288" Type="http://schemas.openxmlformats.org/officeDocument/2006/relationships/hyperlink" Target="https://wwwapps.tc.gc.ca/Saf-Sec-Sur/2/CCARCS-RIACC/ADet.aspx?id=539589&amp;hs=N&amp;l=" TargetMode="External"/><Relationship Id="rId106" Type="http://schemas.openxmlformats.org/officeDocument/2006/relationships/hyperlink" Target="https://wwwapps.tc.gc.ca/Saf-Sec-Sur/2/CCARCS-RIACC/ADetHis.aspx?id=626987&amp;m=GDGD" TargetMode="External"/><Relationship Id="rId127" Type="http://schemas.openxmlformats.org/officeDocument/2006/relationships/hyperlink" Target="https://wwwapps.tc.gc.ca/Saf-Sec-Sur/2/CCARCS-RIACC/ADetHis.aspx?id=704964&amp;m=FVPC" TargetMode="External"/><Relationship Id="rId313" Type="http://schemas.openxmlformats.org/officeDocument/2006/relationships/hyperlink" Target="https://wwwapps.tc.gc.ca/Saf-Sec-Sur/2/CCARCS-RIACC/ADet.aspx?id=537907&amp;hs=N&amp;l=" TargetMode="External"/><Relationship Id="rId10" Type="http://schemas.openxmlformats.org/officeDocument/2006/relationships/hyperlink" Target="https://wwwapps.tc.gc.ca/Saf-Sec-Sur/2/CCARCS-RIACC/ADetHis.aspx?id=1633295&amp;m=GOGS" TargetMode="External"/><Relationship Id="rId31" Type="http://schemas.openxmlformats.org/officeDocument/2006/relationships/hyperlink" Target="https://wwwapps.tc.gc.ca/Saf-Sec-Sur/2/CCARCS-RIACC/ADetHis.aspx?id=1461182&amp;m=GDGD" TargetMode="External"/><Relationship Id="rId52" Type="http://schemas.openxmlformats.org/officeDocument/2006/relationships/hyperlink" Target="https://wwwapps.tc.gc.ca/Saf-Sec-Sur/2/CCARCS-RIACC/ADetHis.aspx?id=1368778&amp;m=FYRH" TargetMode="External"/><Relationship Id="rId73" Type="http://schemas.openxmlformats.org/officeDocument/2006/relationships/hyperlink" Target="https://wwwapps.tc.gc.ca/Saf-Sec-Sur/2/CCARCS-RIACC/ADetHis.aspx?id=1093414&amp;m=GMPW" TargetMode="External"/><Relationship Id="rId94" Type="http://schemas.openxmlformats.org/officeDocument/2006/relationships/hyperlink" Target="https://wwwapps.tc.gc.ca/Saf-Sec-Sur/2/CCARCS-RIACC/ADetHis.aspx?id=1077149&amp;m=GFLA" TargetMode="External"/><Relationship Id="rId148" Type="http://schemas.openxmlformats.org/officeDocument/2006/relationships/hyperlink" Target="https://wwwapps.tc.gc.ca/Saf-Sec-Sur/2/CCARCS-RIACC/ADetHis.aspx?id=1073259&amp;m=FMPN" TargetMode="External"/><Relationship Id="rId169" Type="http://schemas.openxmlformats.org/officeDocument/2006/relationships/hyperlink" Target="https://wwwapps.tc.gc.ca/Saf-Sec-Sur/2/CCARCS-RIACC/ADetHis.aspx?id=723345&amp;m=FKUL" TargetMode="External"/><Relationship Id="rId334" Type="http://schemas.openxmlformats.org/officeDocument/2006/relationships/hyperlink" Target="https://wwwapps.tc.gc.ca/Saf-Sec-Sur/2/CCARCS-RIACC/ADet.aspx?id=534275&amp;hs=N&amp;l=" TargetMode="External"/><Relationship Id="rId355" Type="http://schemas.openxmlformats.org/officeDocument/2006/relationships/hyperlink" Target="https://wwwapps.tc.gc.ca/Saf-Sec-Sur/2/CCARCS-RIACC/ADet.aspx?id=27651&amp;hs=N&amp;l=" TargetMode="External"/><Relationship Id="rId376" Type="http://schemas.openxmlformats.org/officeDocument/2006/relationships/hyperlink" Target="https://wwwapps.tc.gc.ca/Saf-Sec-Sur/2/CCARCS-RIACC/ADet.aspx?id=523561&amp;hs=N&amp;l=" TargetMode="External"/><Relationship Id="rId397" Type="http://schemas.openxmlformats.org/officeDocument/2006/relationships/hyperlink" Target="https://wwwapps.tc.gc.ca/Saf-Sec-Sur/2/CCARCS-RIACC/ADet.aspx?id=511584&amp;hs=N&amp;l=" TargetMode="External"/><Relationship Id="rId4" Type="http://schemas.openxmlformats.org/officeDocument/2006/relationships/hyperlink" Target="https://wwwapps.tc.gc.ca/Saf-Sec-Sur/2/CCARCS-RIACC/ADetHis.aspx?id=1654444&amp;m=GLAI" TargetMode="External"/><Relationship Id="rId180" Type="http://schemas.openxmlformats.org/officeDocument/2006/relationships/hyperlink" Target="https://wwwapps.tc.gc.ca/Saf-Sec-Sur/2/CCARCS-RIACC/ADetHis.aspx?id=85681&amp;m=FKPA" TargetMode="External"/><Relationship Id="rId215" Type="http://schemas.openxmlformats.org/officeDocument/2006/relationships/hyperlink" Target="https://wwwapps.tc.gc.ca/Saf-Sec-Sur/2/CCARCS-RIACC/ADetHis.aspx?id=1157212&amp;m=GMQZ" TargetMode="External"/><Relationship Id="rId236" Type="http://schemas.openxmlformats.org/officeDocument/2006/relationships/hyperlink" Target="https://wwwapps.tc.gc.ca/Saf-Sec-Sur/2/CCARCS-RIACC/ADetHis.aspx?id=1239525&amp;m=GFKA" TargetMode="External"/><Relationship Id="rId257" Type="http://schemas.openxmlformats.org/officeDocument/2006/relationships/hyperlink" Target="https://wwwapps.tc.gc.ca/Saf-Sec-Sur/2/CCARCS-RIACC/ADetHis.aspx?id=1251542&amp;m=FMPE" TargetMode="External"/><Relationship Id="rId278" Type="http://schemas.openxmlformats.org/officeDocument/2006/relationships/hyperlink" Target="https://wwwapps.tc.gc.ca/Saf-Sec-Sur/2/CCARCS-RIACC/ADet.aspx?id=537098&amp;hs=N&amp;l=" TargetMode="External"/><Relationship Id="rId401" Type="http://schemas.openxmlformats.org/officeDocument/2006/relationships/hyperlink" Target="https://wwwapps.tc.gc.ca/Saf-Sec-Sur/2/CCARCS-RIACC/ADet.aspx?id=27611&amp;hs=N&amp;l=" TargetMode="External"/><Relationship Id="rId303" Type="http://schemas.openxmlformats.org/officeDocument/2006/relationships/hyperlink" Target="https://wwwapps.tc.gc.ca/Saf-Sec-Sur/2/CCARCS-RIACC/ADet.aspx?id=532528&amp;hs=N&amp;l=" TargetMode="External"/><Relationship Id="rId42" Type="http://schemas.openxmlformats.org/officeDocument/2006/relationships/hyperlink" Target="https://wwwapps.tc.gc.ca/Saf-Sec-Sur/2/CCARCS-RIACC/ADetHis.aspx?id=1391987&amp;m=FWAL" TargetMode="External"/><Relationship Id="rId84" Type="http://schemas.openxmlformats.org/officeDocument/2006/relationships/hyperlink" Target="https://wwwapps.tc.gc.ca/Saf-Sec-Sur/2/CCARCS-RIACC/ADetHis.aspx?id=949289&amp;m=GKNR" TargetMode="External"/><Relationship Id="rId138" Type="http://schemas.openxmlformats.org/officeDocument/2006/relationships/hyperlink" Target="https://wwwapps.tc.gc.ca/Saf-Sec-Sur/2/CCARCS-RIACC/ADetHis.aspx?id=658559&amp;m=FPCZ" TargetMode="External"/><Relationship Id="rId345" Type="http://schemas.openxmlformats.org/officeDocument/2006/relationships/hyperlink" Target="https://wwwapps.tc.gc.ca/Saf-Sec-Sur/2/CCARCS-RIACC/ADet.aspx?id=532644&amp;hs=N&amp;l=" TargetMode="External"/><Relationship Id="rId387" Type="http://schemas.openxmlformats.org/officeDocument/2006/relationships/hyperlink" Target="https://wwwapps.tc.gc.ca/Saf-Sec-Sur/2/CCARCS-RIACC/ADet.aspx?id=517576&amp;hs=N&amp;l=" TargetMode="External"/><Relationship Id="rId191" Type="http://schemas.openxmlformats.org/officeDocument/2006/relationships/hyperlink" Target="https://wwwapps.tc.gc.ca/Saf-Sec-Sur/2/CCARCS-RIACC/ADetHis.aspx?id=90066&amp;m=FGFL" TargetMode="External"/><Relationship Id="rId205" Type="http://schemas.openxmlformats.org/officeDocument/2006/relationships/hyperlink" Target="https://wwwapps.tc.gc.ca/Saf-Sec-Sur/2/CCARCS-RIACC/ADetHis.aspx?id=1218636&amp;m=GTXV" TargetMode="External"/><Relationship Id="rId247" Type="http://schemas.openxmlformats.org/officeDocument/2006/relationships/hyperlink" Target="https://wwwapps.tc.gc.ca/Saf-Sec-Sur/2/CCARCS-RIACC/ADetHis.aspx?id=1209360&amp;m=FUAM" TargetMode="External"/><Relationship Id="rId107" Type="http://schemas.openxmlformats.org/officeDocument/2006/relationships/hyperlink" Target="https://wwwapps.tc.gc.ca/Saf-Sec-Sur/2/CCARCS-RIACC/ADetHis.aspx?id=91063&amp;m=GBXW" TargetMode="External"/><Relationship Id="rId289" Type="http://schemas.openxmlformats.org/officeDocument/2006/relationships/hyperlink" Target="https://wwwapps.tc.gc.ca/Saf-Sec-Sur/2/CCARCS-RIACC/ADet.aspx?id=532938&amp;hs=N&amp;l=" TargetMode="External"/><Relationship Id="rId11" Type="http://schemas.openxmlformats.org/officeDocument/2006/relationships/hyperlink" Target="https://wwwapps.tc.gc.ca/Saf-Sec-Sur/2/CCARCS-RIACC/ADetHis.aspx?id=1617343&amp;m=FGWG" TargetMode="External"/><Relationship Id="rId53" Type="http://schemas.openxmlformats.org/officeDocument/2006/relationships/hyperlink" Target="https://wwwapps.tc.gc.ca/Saf-Sec-Sur/2/CCARCS-RIACC/ADetHis.aspx?id=1355847&amp;m=GSNG" TargetMode="External"/><Relationship Id="rId149" Type="http://schemas.openxmlformats.org/officeDocument/2006/relationships/hyperlink" Target="https://wwwapps.tc.gc.ca/Saf-Sec-Sur/2/CCARCS-RIACC/ADetHis.aspx?id=1071397&amp;m=FMPN" TargetMode="External"/><Relationship Id="rId314" Type="http://schemas.openxmlformats.org/officeDocument/2006/relationships/hyperlink" Target="https://wwwapps.tc.gc.ca/Saf-Sec-Sur/2/CCARCS-RIACC/ADet.aspx?id=513268&amp;hs=N&amp;l=" TargetMode="External"/><Relationship Id="rId356" Type="http://schemas.openxmlformats.org/officeDocument/2006/relationships/hyperlink" Target="https://wwwapps.tc.gc.ca/Saf-Sec-Sur/2/CCARCS-RIACC/ADet.aspx?id=8770&amp;hs=N&amp;l=" TargetMode="External"/><Relationship Id="rId398" Type="http://schemas.openxmlformats.org/officeDocument/2006/relationships/hyperlink" Target="https://wwwapps.tc.gc.ca/Saf-Sec-Sur/2/CCARCS-RIACC/ADet.aspx?id=511006&amp;hs=N&amp;l=" TargetMode="External"/><Relationship Id="rId95" Type="http://schemas.openxmlformats.org/officeDocument/2006/relationships/hyperlink" Target="https://wwwapps.tc.gc.ca/Saf-Sec-Sur/2/CCARCS-RIACC/ADetHis.aspx?id=1077078&amp;m=GFLA" TargetMode="External"/><Relationship Id="rId160" Type="http://schemas.openxmlformats.org/officeDocument/2006/relationships/hyperlink" Target="https://wwwapps.tc.gc.ca/Saf-Sec-Sur/2/CCARCS-RIACC/ADetHis.aspx?id=906397&amp;m=FKVL" TargetMode="External"/><Relationship Id="rId216" Type="http://schemas.openxmlformats.org/officeDocument/2006/relationships/hyperlink" Target="https://wwwapps.tc.gc.ca/Saf-Sec-Sur/2/CCARCS-RIACC/ADetHis.aspx?id=1157206&amp;m=GMPZ" TargetMode="External"/><Relationship Id="rId258" Type="http://schemas.openxmlformats.org/officeDocument/2006/relationships/hyperlink" Target="https://wwwapps.tc.gc.ca/Saf-Sec-Sur/2/CCARCS-RIACC/ADetHis.aspx?id=1209358&amp;m=FMAO" TargetMode="External"/><Relationship Id="rId22" Type="http://schemas.openxmlformats.org/officeDocument/2006/relationships/hyperlink" Target="https://wwwapps.tc.gc.ca/Saf-Sec-Sur/2/CCARCS-RIACC/ADetHis.aspx?id=1502601&amp;m=GNGY" TargetMode="External"/><Relationship Id="rId64" Type="http://schemas.openxmlformats.org/officeDocument/2006/relationships/hyperlink" Target="https://wwwapps.tc.gc.ca/Saf-Sec-Sur/2/CCARCS-RIACC/ADetHis.aspx?id=781373&amp;m=GPCO" TargetMode="External"/><Relationship Id="rId118" Type="http://schemas.openxmlformats.org/officeDocument/2006/relationships/hyperlink" Target="https://wwwapps.tc.gc.ca/Saf-Sec-Sur/2/CCARCS-RIACC/ADetHis.aspx?id=1089928&amp;m=FVPK" TargetMode="External"/><Relationship Id="rId325" Type="http://schemas.openxmlformats.org/officeDocument/2006/relationships/hyperlink" Target="https://wwwapps.tc.gc.ca/Saf-Sec-Sur/2/CCARCS-RIACC/ADet.aspx?id=524185&amp;hs=N&amp;l=" TargetMode="External"/><Relationship Id="rId367" Type="http://schemas.openxmlformats.org/officeDocument/2006/relationships/hyperlink" Target="https://wwwapps.tc.gc.ca/Saf-Sec-Sur/2/CCARCS-RIACC/ADet.aspx?id=527715&amp;hs=N&amp;l=" TargetMode="External"/><Relationship Id="rId171" Type="http://schemas.openxmlformats.org/officeDocument/2006/relationships/hyperlink" Target="https://wwwapps.tc.gc.ca/Saf-Sec-Sur/2/CCARCS-RIACC/ADetHis.aspx?id=946511&amp;m=FKSL" TargetMode="External"/><Relationship Id="rId227" Type="http://schemas.openxmlformats.org/officeDocument/2006/relationships/hyperlink" Target="https://wwwapps.tc.gc.ca/Saf-Sec-Sur/2/CCARCS-RIACC/ADetHis.aspx?id=1106372&amp;m=GKAY" TargetMode="External"/><Relationship Id="rId269" Type="http://schemas.openxmlformats.org/officeDocument/2006/relationships/hyperlink" Target="https://wwwapps.tc.gc.ca/Saf-Sec-Sur/2/CCARCS-RIACC/ADetHis.aspx?id=1221116&amp;m=FCVD" TargetMode="External"/><Relationship Id="rId33" Type="http://schemas.openxmlformats.org/officeDocument/2006/relationships/hyperlink" Target="https://wwwapps.tc.gc.ca/Saf-Sec-Sur/2/CCARCS-RIACC/ADetHis.aspx?id=1425103&amp;m=GXTB" TargetMode="External"/><Relationship Id="rId129" Type="http://schemas.openxmlformats.org/officeDocument/2006/relationships/hyperlink" Target="https://wwwapps.tc.gc.ca/Saf-Sec-Sur/2/CCARCS-RIACC/ADetHis.aspx?id=659493&amp;m=FVPC" TargetMode="External"/><Relationship Id="rId280" Type="http://schemas.openxmlformats.org/officeDocument/2006/relationships/hyperlink" Target="https://wwwapps.tc.gc.ca/Saf-Sec-Sur/2/CCARCS-RIACC/ADet.aspx?id=540238&amp;hs=N&amp;l=" TargetMode="External"/><Relationship Id="rId336" Type="http://schemas.openxmlformats.org/officeDocument/2006/relationships/hyperlink" Target="https://wwwapps.tc.gc.ca/Saf-Sec-Sur/2/CCARCS-RIACC/ADet.aspx?id=27325&amp;hs=N&amp;l=" TargetMode="External"/><Relationship Id="rId75" Type="http://schemas.openxmlformats.org/officeDocument/2006/relationships/hyperlink" Target="https://wwwapps.tc.gc.ca/Saf-Sec-Sur/2/CCARCS-RIACC/ADetHis.aspx?id=924771&amp;m=GMLF" TargetMode="External"/><Relationship Id="rId140" Type="http://schemas.openxmlformats.org/officeDocument/2006/relationships/hyperlink" Target="https://wwwapps.tc.gc.ca/Saf-Sec-Sur/2/CCARCS-RIACC/ADetHis.aspx?id=820995&amp;m=FPCL" TargetMode="External"/><Relationship Id="rId182" Type="http://schemas.openxmlformats.org/officeDocument/2006/relationships/hyperlink" Target="https://wwwapps.tc.gc.ca/Saf-Sec-Sur/2/CCARCS-RIACC/ADetHis.aspx?id=1000715&amp;m=FKGA" TargetMode="External"/><Relationship Id="rId378" Type="http://schemas.openxmlformats.org/officeDocument/2006/relationships/hyperlink" Target="https://wwwapps.tc.gc.ca/Saf-Sec-Sur/2/CCARCS-RIACC/ADet.aspx?id=522814&amp;hs=N&amp;l=" TargetMode="External"/><Relationship Id="rId6" Type="http://schemas.openxmlformats.org/officeDocument/2006/relationships/hyperlink" Target="https://wwwapps.tc.gc.ca/Saf-Sec-Sur/2/CCARCS-RIACC/ADetHis.aspx?id=1654402&amp;m=FSNC" TargetMode="External"/><Relationship Id="rId238" Type="http://schemas.openxmlformats.org/officeDocument/2006/relationships/hyperlink" Target="https://wwwapps.tc.gc.ca/Saf-Sec-Sur/2/CCARCS-RIACC/ADetHis.aspx?id=1214552&amp;m=GFKA" TargetMode="External"/><Relationship Id="rId291" Type="http://schemas.openxmlformats.org/officeDocument/2006/relationships/hyperlink" Target="https://wwwapps.tc.gc.ca/Saf-Sec-Sur/2/CCARCS-RIACC/ADet.aspx?id=539594&amp;hs=N&amp;l=" TargetMode="External"/><Relationship Id="rId305" Type="http://schemas.openxmlformats.org/officeDocument/2006/relationships/hyperlink" Target="https://wwwapps.tc.gc.ca/Saf-Sec-Sur/2/CCARCS-RIACC/ADet.aspx?id=516623&amp;hs=N&amp;l=" TargetMode="External"/><Relationship Id="rId347" Type="http://schemas.openxmlformats.org/officeDocument/2006/relationships/hyperlink" Target="https://wwwapps.tc.gc.ca/Saf-Sec-Sur/2/CCARCS-RIACC/ADet.aspx?id=531356&amp;hs=N&amp;l=" TargetMode="External"/><Relationship Id="rId44" Type="http://schemas.openxmlformats.org/officeDocument/2006/relationships/hyperlink" Target="https://wwwapps.tc.gc.ca/Saf-Sec-Sur/2/CCARCS-RIACC/ADetHis.aspx?id=1389699&amp;m=GXTB" TargetMode="External"/><Relationship Id="rId86" Type="http://schemas.openxmlformats.org/officeDocument/2006/relationships/hyperlink" Target="https://wwwapps.tc.gc.ca/Saf-Sec-Sur/2/CCARCS-RIACC/ADetHis.aspx?id=931439&amp;m=GKNR" TargetMode="External"/><Relationship Id="rId151" Type="http://schemas.openxmlformats.org/officeDocument/2006/relationships/hyperlink" Target="https://wwwapps.tc.gc.ca/Saf-Sec-Sur/2/CCARCS-RIACC/ADetHis.aspx?id=895325&amp;m=FMPF" TargetMode="External"/><Relationship Id="rId389" Type="http://schemas.openxmlformats.org/officeDocument/2006/relationships/hyperlink" Target="https://wwwapps.tc.gc.ca/Saf-Sec-Sur/2/CCARCS-RIACC/ADet.aspx?id=516938&amp;hs=N&amp;l=" TargetMode="External"/><Relationship Id="rId193" Type="http://schemas.openxmlformats.org/officeDocument/2006/relationships/hyperlink" Target="https://wwwapps.tc.gc.ca/Saf-Sec-Sur/2/CCARCS-RIACC/ADetHis.aspx?id=937239&amp;m=FDLV" TargetMode="External"/><Relationship Id="rId207" Type="http://schemas.openxmlformats.org/officeDocument/2006/relationships/hyperlink" Target="https://wwwapps.tc.gc.ca/Saf-Sec-Sur/2/CCARCS-RIACC/ADetHis.aspx?id=1269777&amp;m=GPAI" TargetMode="External"/><Relationship Id="rId249" Type="http://schemas.openxmlformats.org/officeDocument/2006/relationships/hyperlink" Target="https://wwwapps.tc.gc.ca/Saf-Sec-Sur/2/CCARCS-RIACC/ADetHis.aspx?id=1173920&amp;m=FUAM" TargetMode="External"/><Relationship Id="rId13" Type="http://schemas.openxmlformats.org/officeDocument/2006/relationships/hyperlink" Target="https://wwwapps.tc.gc.ca/Saf-Sec-Sur/2/CCARCS-RIACC/ADetHis.aspx?id=1582103&amp;m=GJRG" TargetMode="External"/><Relationship Id="rId109" Type="http://schemas.openxmlformats.org/officeDocument/2006/relationships/hyperlink" Target="https://wwwapps.tc.gc.ca/Saf-Sec-Sur/2/CCARCS-RIACC/ADetHis.aspx?id=78818&amp;m=GBXW" TargetMode="External"/><Relationship Id="rId260" Type="http://schemas.openxmlformats.org/officeDocument/2006/relationships/hyperlink" Target="https://wwwapps.tc.gc.ca/Saf-Sec-Sur/2/CCARCS-RIACC/ADetHis.aspx?id=1174942&amp;m=FMAO" TargetMode="External"/><Relationship Id="rId316" Type="http://schemas.openxmlformats.org/officeDocument/2006/relationships/hyperlink" Target="https://wwwapps.tc.gc.ca/Saf-Sec-Sur/2/CCARCS-RIACC/ADet.aspx?id=537802&amp;hs=N&amp;l=" TargetMode="External"/><Relationship Id="rId55" Type="http://schemas.openxmlformats.org/officeDocument/2006/relationships/hyperlink" Target="https://wwwapps.tc.gc.ca/Saf-Sec-Sur/2/CCARCS-RIACC/ADetHis.aspx?id=1341604&amp;m=GBXW" TargetMode="External"/><Relationship Id="rId97" Type="http://schemas.openxmlformats.org/officeDocument/2006/relationships/hyperlink" Target="https://wwwapps.tc.gc.ca/Saf-Sec-Sur/2/CCARCS-RIACC/ADetHis.aspx?id=841985&amp;m=GFIL" TargetMode="External"/><Relationship Id="rId120" Type="http://schemas.openxmlformats.org/officeDocument/2006/relationships/hyperlink" Target="https://wwwapps.tc.gc.ca/Saf-Sec-Sur/2/CCARCS-RIACC/ADetHis.aspx?id=890941&amp;m=FVPC" TargetMode="External"/><Relationship Id="rId358" Type="http://schemas.openxmlformats.org/officeDocument/2006/relationships/hyperlink" Target="https://wwwapps.tc.gc.ca/Saf-Sec-Sur/2/CCARCS-RIACC/ADet.aspx?id=27636&amp;hs=N&amp;l=" TargetMode="External"/><Relationship Id="rId162" Type="http://schemas.openxmlformats.org/officeDocument/2006/relationships/hyperlink" Target="https://wwwapps.tc.gc.ca/Saf-Sec-Sur/2/CCARCS-RIACC/ADetHis.aspx?id=1094058&amp;m=FKUL" TargetMode="External"/><Relationship Id="rId218" Type="http://schemas.openxmlformats.org/officeDocument/2006/relationships/hyperlink" Target="https://wwwapps.tc.gc.ca/Saf-Sec-Sur/2/CCARCS-RIACC/ADetHis.aspx?id=1217927&amp;m=GMLF" TargetMode="External"/><Relationship Id="rId271" Type="http://schemas.openxmlformats.org/officeDocument/2006/relationships/hyperlink" Target="https://wwwapps.tc.gc.ca/Saf-Sec-Sur/2/CCARCS-RIACC/ADetHis.aspx?id=1141950&amp;m=FCLB" TargetMode="External"/><Relationship Id="rId24" Type="http://schemas.openxmlformats.org/officeDocument/2006/relationships/hyperlink" Target="https://wwwapps.tc.gc.ca/Saf-Sec-Sur/2/CCARCS-RIACC/ADetHis.aspx?id=1493065&amp;m=GPWL" TargetMode="External"/><Relationship Id="rId66" Type="http://schemas.openxmlformats.org/officeDocument/2006/relationships/hyperlink" Target="https://wwwapps.tc.gc.ca/Saf-Sec-Sur/2/CCARCS-RIACC/ADetHis.aspx?id=870337&amp;m=GPAI" TargetMode="External"/><Relationship Id="rId131" Type="http://schemas.openxmlformats.org/officeDocument/2006/relationships/hyperlink" Target="https://wwwapps.tc.gc.ca/Saf-Sec-Sur/2/CCARCS-RIACC/ADetHis.aspx?id=1101593&amp;m=FSRK" TargetMode="External"/><Relationship Id="rId327" Type="http://schemas.openxmlformats.org/officeDocument/2006/relationships/hyperlink" Target="https://wwwapps.tc.gc.ca/Saf-Sec-Sur/2/CCARCS-RIACC/ADet.aspx?id=10964&amp;hs=N&amp;l=" TargetMode="External"/><Relationship Id="rId369" Type="http://schemas.openxmlformats.org/officeDocument/2006/relationships/hyperlink" Target="https://wwwapps.tc.gc.ca/Saf-Sec-Sur/2/CCARCS-RIACC/ADet.aspx?id=526922&amp;hs=N&amp;l=" TargetMode="External"/><Relationship Id="rId173" Type="http://schemas.openxmlformats.org/officeDocument/2006/relationships/hyperlink" Target="https://wwwapps.tc.gc.ca/Saf-Sec-Sur/2/CCARCS-RIACC/ADetHis.aspx?id=91825&amp;m=FKSL" TargetMode="External"/><Relationship Id="rId229" Type="http://schemas.openxmlformats.org/officeDocument/2006/relationships/hyperlink" Target="https://wwwapps.tc.gc.ca/Saf-Sec-Sur/2/CCARCS-RIACC/ADetHis.aspx?id=1227701&amp;m=GJRG" TargetMode="External"/><Relationship Id="rId380" Type="http://schemas.openxmlformats.org/officeDocument/2006/relationships/hyperlink" Target="https://wwwapps.tc.gc.ca/Saf-Sec-Sur/2/CCARCS-RIACC/ADet.aspx?id=520141&amp;hs=N&amp;l=" TargetMode="External"/><Relationship Id="rId240" Type="http://schemas.openxmlformats.org/officeDocument/2006/relationships/hyperlink" Target="https://wwwapps.tc.gc.ca/Saf-Sec-Sur/2/CCARCS-RIACC/ADetHis.aspx?id=1104031&amp;m=GECT" TargetMode="External"/><Relationship Id="rId35" Type="http://schemas.openxmlformats.org/officeDocument/2006/relationships/hyperlink" Target="https://wwwapps.tc.gc.ca/Saf-Sec-Sur/2/CCARCS-RIACC/ADetHis.aspx?id=1416672&amp;m=GNGI" TargetMode="External"/><Relationship Id="rId77" Type="http://schemas.openxmlformats.org/officeDocument/2006/relationships/hyperlink" Target="https://wwwapps.tc.gc.ca/Saf-Sec-Sur/2/CCARCS-RIACC/ADetHis.aspx?id=772341&amp;m=GMAE" TargetMode="External"/><Relationship Id="rId100" Type="http://schemas.openxmlformats.org/officeDocument/2006/relationships/hyperlink" Target="https://wwwapps.tc.gc.ca/Saf-Sec-Sur/2/CCARCS-RIACC/ADetHis.aspx?id=971279&amp;m=GECT" TargetMode="External"/><Relationship Id="rId282" Type="http://schemas.openxmlformats.org/officeDocument/2006/relationships/hyperlink" Target="https://wwwapps.tc.gc.ca/Saf-Sec-Sur/2/CCARCS-RIACC/ADet.aspx?id=527094&amp;hs=N&amp;l=" TargetMode="External"/><Relationship Id="rId338" Type="http://schemas.openxmlformats.org/officeDocument/2006/relationships/hyperlink" Target="https://wwwapps.tc.gc.ca/Saf-Sec-Sur/2/CCARCS-RIACC/ADet.aspx?id=534313&amp;hs=N&amp;l=" TargetMode="External"/><Relationship Id="rId8" Type="http://schemas.openxmlformats.org/officeDocument/2006/relationships/hyperlink" Target="https://wwwapps.tc.gc.ca/Saf-Sec-Sur/2/CCARCS-RIACC/ADetHis.aspx?id=1635254&amp;m=GBII" TargetMode="External"/><Relationship Id="rId142" Type="http://schemas.openxmlformats.org/officeDocument/2006/relationships/hyperlink" Target="https://wwwapps.tc.gc.ca/Saf-Sec-Sur/2/CCARCS-RIACC/ADetHis.aspx?id=812983&amp;m=FPCL" TargetMode="External"/><Relationship Id="rId184" Type="http://schemas.openxmlformats.org/officeDocument/2006/relationships/hyperlink" Target="https://wwwapps.tc.gc.ca/Saf-Sec-Sur/2/CCARCS-RIACC/ADetHis.aspx?id=79581&amp;m=FKAE" TargetMode="External"/><Relationship Id="rId391" Type="http://schemas.openxmlformats.org/officeDocument/2006/relationships/hyperlink" Target="https://wwwapps.tc.gc.ca/Saf-Sec-Sur/2/CCARCS-RIACC/ADet.aspx?id=516721&amp;hs=N&amp;l=" TargetMode="External"/><Relationship Id="rId251" Type="http://schemas.openxmlformats.org/officeDocument/2006/relationships/hyperlink" Target="https://wwwapps.tc.gc.ca/Saf-Sec-Sur/2/CCARCS-RIACC/ADetHis.aspx?id=1267741&amp;m=FNGE" TargetMode="External"/><Relationship Id="rId46" Type="http://schemas.openxmlformats.org/officeDocument/2006/relationships/hyperlink" Target="https://wwwapps.tc.gc.ca/Saf-Sec-Sur/2/CCARCS-RIACC/ADetHis.aspx?id=1389695&amp;m=GXTB" TargetMode="External"/><Relationship Id="rId293" Type="http://schemas.openxmlformats.org/officeDocument/2006/relationships/hyperlink" Target="https://wwwapps.tc.gc.ca/Saf-Sec-Sur/2/CCARCS-RIACC/ADet.aspx?id=539457&amp;hs=N&amp;l=" TargetMode="External"/><Relationship Id="rId307" Type="http://schemas.openxmlformats.org/officeDocument/2006/relationships/hyperlink" Target="https://wwwapps.tc.gc.ca/Saf-Sec-Sur/2/CCARCS-RIACC/ADet.aspx?id=538364&amp;hs=N&amp;l=" TargetMode="External"/><Relationship Id="rId349" Type="http://schemas.openxmlformats.org/officeDocument/2006/relationships/hyperlink" Target="https://wwwapps.tc.gc.ca/Saf-Sec-Sur/2/CCARCS-RIACC/ADet.aspx?id=521117&amp;hs=N&amp;l=" TargetMode="External"/><Relationship Id="rId88" Type="http://schemas.openxmlformats.org/officeDocument/2006/relationships/hyperlink" Target="https://wwwapps.tc.gc.ca/Saf-Sec-Sur/2/CCARCS-RIACC/ADetHis.aspx?id=1077153&amp;m=GKAY" TargetMode="External"/><Relationship Id="rId111" Type="http://schemas.openxmlformats.org/officeDocument/2006/relationships/hyperlink" Target="https://wwwapps.tc.gc.ca/Saf-Sec-Sur/2/CCARCS-RIACC/ADetHis.aspx?id=718263&amp;m=GBTL" TargetMode="External"/><Relationship Id="rId153" Type="http://schemas.openxmlformats.org/officeDocument/2006/relationships/hyperlink" Target="https://wwwapps.tc.gc.ca/Saf-Sec-Sur/2/CCARCS-RIACC/ADetHis.aspx?id=894065&amp;m=FMPF" TargetMode="External"/><Relationship Id="rId195" Type="http://schemas.openxmlformats.org/officeDocument/2006/relationships/hyperlink" Target="https://wwwapps.tc.gc.ca/Saf-Sec-Sur/2/CCARCS-RIACC/ADetHis.aspx?id=947445&amp;m=FCJV" TargetMode="External"/><Relationship Id="rId209" Type="http://schemas.openxmlformats.org/officeDocument/2006/relationships/hyperlink" Target="https://wwwapps.tc.gc.ca/Saf-Sec-Sur/2/CCARCS-RIACC/ADetHis.aspx?id=1269066&amp;m=GPAI" TargetMode="External"/><Relationship Id="rId360" Type="http://schemas.openxmlformats.org/officeDocument/2006/relationships/hyperlink" Target="https://wwwapps.tc.gc.ca/Saf-Sec-Sur/2/CCARCS-RIACC/ADet.aspx?id=529464&amp;hs=N&amp;l=" TargetMode="External"/><Relationship Id="rId220" Type="http://schemas.openxmlformats.org/officeDocument/2006/relationships/hyperlink" Target="https://wwwapps.tc.gc.ca/Saf-Sec-Sur/2/CCARCS-RIACC/ADetHis.aspx?id=1108083&amp;m=GKVT" TargetMode="External"/><Relationship Id="rId15" Type="http://schemas.openxmlformats.org/officeDocument/2006/relationships/hyperlink" Target="https://wwwapps.tc.gc.ca/Saf-Sec-Sur/2/CCARCS-RIACC/ADetHis.aspx?id=1559515&amp;m=FOPE" TargetMode="External"/><Relationship Id="rId57" Type="http://schemas.openxmlformats.org/officeDocument/2006/relationships/hyperlink" Target="https://wwwapps.tc.gc.ca/Saf-Sec-Sur/2/CCARCS-RIACC/ADetHis.aspx?id=1338147&amp;m=GSNG" TargetMode="External"/><Relationship Id="rId262" Type="http://schemas.openxmlformats.org/officeDocument/2006/relationships/hyperlink" Target="https://wwwapps.tc.gc.ca/Saf-Sec-Sur/2/CCARCS-RIACC/ADetHis.aspx?id=1269142&amp;m=FKVL" TargetMode="External"/><Relationship Id="rId318" Type="http://schemas.openxmlformats.org/officeDocument/2006/relationships/hyperlink" Target="https://wwwapps.tc.gc.ca/Saf-Sec-Sur/2/CCARCS-RIACC/ADet.aspx?id=535866&amp;hs=N&amp;l=" TargetMode="External"/><Relationship Id="rId99" Type="http://schemas.openxmlformats.org/officeDocument/2006/relationships/hyperlink" Target="https://wwwapps.tc.gc.ca/Saf-Sec-Sur/2/CCARCS-RIACC/ADetHis.aspx?id=84487&amp;m=GFIL" TargetMode="External"/><Relationship Id="rId122" Type="http://schemas.openxmlformats.org/officeDocument/2006/relationships/hyperlink" Target="https://wwwapps.tc.gc.ca/Saf-Sec-Sur/2/CCARCS-RIACC/ADetHis.aspx?id=776035&amp;m=FVPC" TargetMode="External"/><Relationship Id="rId164" Type="http://schemas.openxmlformats.org/officeDocument/2006/relationships/hyperlink" Target="https://wwwapps.tc.gc.ca/Saf-Sec-Sur/2/CCARCS-RIACC/ADetHis.aspx?id=1026018&amp;m=FKUL" TargetMode="External"/><Relationship Id="rId371" Type="http://schemas.openxmlformats.org/officeDocument/2006/relationships/hyperlink" Target="https://wwwapps.tc.gc.ca/Saf-Sec-Sur/2/CCARCS-RIACC/ADet.aspx?id=526020&amp;hs=N&amp;l=" TargetMode="External"/><Relationship Id="rId26" Type="http://schemas.openxmlformats.org/officeDocument/2006/relationships/hyperlink" Target="https://wwwapps.tc.gc.ca/Saf-Sec-Sur/2/CCARCS-RIACC/ADetHis.aspx?id=1492563&amp;m=FMDF" TargetMode="External"/><Relationship Id="rId231" Type="http://schemas.openxmlformats.org/officeDocument/2006/relationships/hyperlink" Target="https://wwwapps.tc.gc.ca/Saf-Sec-Sur/2/CCARCS-RIACC/ADetHis.aspx?id=1192075&amp;m=GJRG" TargetMode="External"/><Relationship Id="rId273" Type="http://schemas.openxmlformats.org/officeDocument/2006/relationships/hyperlink" Target="https://wwwapps.tc.gc.ca/Saf-Sec-Sur/2/CCARCS-RIACC/ADet.aspx?id=12829&amp;hs=N&amp;l=" TargetMode="External"/><Relationship Id="rId329" Type="http://schemas.openxmlformats.org/officeDocument/2006/relationships/hyperlink" Target="https://wwwapps.tc.gc.ca/Saf-Sec-Sur/2/CCARCS-RIACC/ADet.aspx?id=509686&amp;hs=N&amp;l=" TargetMode="External"/><Relationship Id="rId68" Type="http://schemas.openxmlformats.org/officeDocument/2006/relationships/hyperlink" Target="https://wwwapps.tc.gc.ca/Saf-Sec-Sur/2/CCARCS-RIACC/ADetHis.aspx?id=811817&amp;m=GPAI" TargetMode="External"/><Relationship Id="rId133" Type="http://schemas.openxmlformats.org/officeDocument/2006/relationships/hyperlink" Target="https://wwwapps.tc.gc.ca/Saf-Sec-Sur/2/CCARCS-RIACC/ADetHis.aspx?id=1053917&amp;m=FSRK" TargetMode="External"/><Relationship Id="rId175" Type="http://schemas.openxmlformats.org/officeDocument/2006/relationships/hyperlink" Target="https://wwwapps.tc.gc.ca/Saf-Sec-Sur/2/CCARCS-RIACC/ADetHis.aspx?id=988245&amp;m=FKPX" TargetMode="External"/><Relationship Id="rId340" Type="http://schemas.openxmlformats.org/officeDocument/2006/relationships/hyperlink" Target="https://wwwapps.tc.gc.ca/Saf-Sec-Sur/2/CCARCS-RIACC/ADet.aspx?id=530317&amp;hs=N&amp;l=" TargetMode="External"/><Relationship Id="rId200" Type="http://schemas.openxmlformats.org/officeDocument/2006/relationships/hyperlink" Target="https://wwwapps.tc.gc.ca/Saf-Sec-Sur/2/CCARCS-RIACC/ADetHis.aspx?id=83407&amp;m=FCJV" TargetMode="External"/><Relationship Id="rId382" Type="http://schemas.openxmlformats.org/officeDocument/2006/relationships/hyperlink" Target="https://wwwapps.tc.gc.ca/Saf-Sec-Sur/2/CCARCS-RIACC/ADet.aspx?id=519899&amp;hs=N&amp;l=" TargetMode="External"/><Relationship Id="rId242" Type="http://schemas.openxmlformats.org/officeDocument/2006/relationships/hyperlink" Target="https://wwwapps.tc.gc.ca/Saf-Sec-Sur/2/CCARCS-RIACC/ADetHis.aspx?id=1137468&amp;m=GDGD" TargetMode="External"/><Relationship Id="rId284" Type="http://schemas.openxmlformats.org/officeDocument/2006/relationships/hyperlink" Target="https://wwwapps.tc.gc.ca/Saf-Sec-Sur/2/CCARCS-RIACC/ADet.aspx?id=539912&amp;hs=N&amp;l=" TargetMode="External"/><Relationship Id="rId37" Type="http://schemas.openxmlformats.org/officeDocument/2006/relationships/hyperlink" Target="https://wwwapps.tc.gc.ca/Saf-Sec-Sur/2/CCARCS-RIACC/ADetHis.aspx?id=1412473&amp;m=FKRB" TargetMode="External"/><Relationship Id="rId79" Type="http://schemas.openxmlformats.org/officeDocument/2006/relationships/hyperlink" Target="https://wwwapps.tc.gc.ca/Saf-Sec-Sur/2/CCARCS-RIACC/ADetHis.aspx?id=85212&amp;m=GMAE" TargetMode="External"/><Relationship Id="rId102" Type="http://schemas.openxmlformats.org/officeDocument/2006/relationships/hyperlink" Target="https://wwwapps.tc.gc.ca/Saf-Sec-Sur/2/CCARCS-RIACC/ADetHis.aspx?id=971255&amp;m=GECT" TargetMode="External"/><Relationship Id="rId144" Type="http://schemas.openxmlformats.org/officeDocument/2006/relationships/hyperlink" Target="https://wwwapps.tc.gc.ca/Saf-Sec-Sur/2/CCARCS-RIACC/ADetHis.aspx?id=940983&amp;m=FP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72D1-39FE-414C-A229-F2D174901C43}">
  <dimension ref="A1:G215"/>
  <sheetViews>
    <sheetView tabSelected="1" topLeftCell="A177" workbookViewId="0">
      <selection activeCell="B180" sqref="B180"/>
    </sheetView>
  </sheetViews>
  <sheetFormatPr baseColWidth="10" defaultRowHeight="16" x14ac:dyDescent="0.2"/>
  <cols>
    <col min="1" max="1" width="76.33203125" bestFit="1" customWidth="1"/>
    <col min="2" max="2" width="14.33203125" bestFit="1" customWidth="1"/>
    <col min="3" max="3" width="15" bestFit="1" customWidth="1"/>
    <col min="4" max="4" width="16.83203125" bestFit="1" customWidth="1"/>
    <col min="5" max="5" width="104.1640625" bestFit="1" customWidth="1"/>
    <col min="6" max="6" width="23.33203125" style="3" bestFit="1" customWidth="1"/>
    <col min="7" max="7" width="22.5" bestFit="1" customWidth="1"/>
  </cols>
  <sheetData>
    <row r="1" spans="1:7" ht="18" x14ac:dyDescent="0.2">
      <c r="A1" s="2" t="s">
        <v>182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183</v>
      </c>
    </row>
    <row r="2" spans="1:7" ht="18" x14ac:dyDescent="0.2">
      <c r="A2" s="1" t="s">
        <v>5</v>
      </c>
      <c r="B2" s="2" t="s">
        <v>6</v>
      </c>
      <c r="C2" s="2" t="s">
        <v>7</v>
      </c>
      <c r="D2" s="2">
        <v>178</v>
      </c>
      <c r="E2" s="2" t="s">
        <v>8</v>
      </c>
      <c r="F2" s="4">
        <v>46129</v>
      </c>
      <c r="G2" s="2">
        <f>YEAR(F2)</f>
        <v>2026</v>
      </c>
    </row>
    <row r="3" spans="1:7" ht="18" x14ac:dyDescent="0.2">
      <c r="A3" s="1" t="s">
        <v>9</v>
      </c>
      <c r="B3" s="2" t="s">
        <v>6</v>
      </c>
      <c r="C3" s="2" t="s">
        <v>7</v>
      </c>
      <c r="D3" s="2">
        <v>399</v>
      </c>
      <c r="E3" s="2" t="s">
        <v>8</v>
      </c>
      <c r="F3" s="4">
        <v>46129</v>
      </c>
      <c r="G3" s="2">
        <f t="shared" ref="G3:G66" si="0">YEAR(F3)</f>
        <v>2026</v>
      </c>
    </row>
    <row r="4" spans="1:7" ht="18" x14ac:dyDescent="0.2">
      <c r="A4" s="1" t="s">
        <v>10</v>
      </c>
      <c r="B4" s="2" t="s">
        <v>6</v>
      </c>
      <c r="C4" s="2" t="s">
        <v>7</v>
      </c>
      <c r="D4" s="2">
        <v>522</v>
      </c>
      <c r="E4" s="2" t="s">
        <v>11</v>
      </c>
      <c r="F4" s="4">
        <v>46128</v>
      </c>
      <c r="G4" s="2">
        <f t="shared" si="0"/>
        <v>2026</v>
      </c>
    </row>
    <row r="5" spans="1:7" ht="18" x14ac:dyDescent="0.2">
      <c r="A5" s="1" t="s">
        <v>12</v>
      </c>
      <c r="B5" s="2" t="s">
        <v>6</v>
      </c>
      <c r="C5" s="2" t="s">
        <v>13</v>
      </c>
      <c r="D5" s="2">
        <v>1297</v>
      </c>
      <c r="E5" s="2" t="s">
        <v>14</v>
      </c>
      <c r="F5" s="4">
        <v>46114</v>
      </c>
      <c r="G5" s="2">
        <f t="shared" si="0"/>
        <v>2026</v>
      </c>
    </row>
    <row r="6" spans="1:7" ht="18" x14ac:dyDescent="0.2">
      <c r="A6" s="1" t="s">
        <v>15</v>
      </c>
      <c r="B6" s="2" t="s">
        <v>6</v>
      </c>
      <c r="C6" s="2" t="s">
        <v>16</v>
      </c>
      <c r="D6" s="2">
        <v>3062</v>
      </c>
      <c r="E6" s="2" t="s">
        <v>17</v>
      </c>
      <c r="F6" s="4">
        <v>46098</v>
      </c>
      <c r="G6" s="2">
        <f t="shared" si="0"/>
        <v>2026</v>
      </c>
    </row>
    <row r="7" spans="1:7" ht="18" x14ac:dyDescent="0.2">
      <c r="A7" s="1" t="s">
        <v>18</v>
      </c>
      <c r="B7" s="2" t="s">
        <v>6</v>
      </c>
      <c r="C7" s="2" t="s">
        <v>19</v>
      </c>
      <c r="D7" s="2">
        <v>815</v>
      </c>
      <c r="E7" s="2" t="s">
        <v>20</v>
      </c>
      <c r="F7" s="4">
        <v>46090</v>
      </c>
      <c r="G7" s="2">
        <f t="shared" si="0"/>
        <v>2026</v>
      </c>
    </row>
    <row r="8" spans="1:7" ht="18" x14ac:dyDescent="0.2">
      <c r="A8" s="1" t="s">
        <v>21</v>
      </c>
      <c r="B8" s="2" t="s">
        <v>6</v>
      </c>
      <c r="C8" s="2" t="s">
        <v>13</v>
      </c>
      <c r="D8" s="2">
        <v>2211</v>
      </c>
      <c r="E8" s="2" t="s">
        <v>22</v>
      </c>
      <c r="F8" s="4">
        <v>45995</v>
      </c>
      <c r="G8" s="2">
        <f t="shared" si="0"/>
        <v>2025</v>
      </c>
    </row>
    <row r="9" spans="1:7" ht="18" x14ac:dyDescent="0.2">
      <c r="A9" s="1" t="s">
        <v>23</v>
      </c>
      <c r="B9" s="2" t="s">
        <v>6</v>
      </c>
      <c r="C9" s="2" t="s">
        <v>13</v>
      </c>
      <c r="D9" s="2">
        <v>1768</v>
      </c>
      <c r="E9" s="2" t="s">
        <v>24</v>
      </c>
      <c r="F9" s="4">
        <v>45947</v>
      </c>
      <c r="G9" s="2">
        <f t="shared" si="0"/>
        <v>2025</v>
      </c>
    </row>
    <row r="10" spans="1:7" ht="18" x14ac:dyDescent="0.2">
      <c r="A10" s="1" t="s">
        <v>25</v>
      </c>
      <c r="B10" s="2" t="s">
        <v>6</v>
      </c>
      <c r="C10" s="2" t="s">
        <v>7</v>
      </c>
      <c r="D10" s="2">
        <v>420</v>
      </c>
      <c r="E10" s="2" t="s">
        <v>11</v>
      </c>
      <c r="F10" s="4">
        <v>45931</v>
      </c>
      <c r="G10" s="2">
        <f t="shared" si="0"/>
        <v>2025</v>
      </c>
    </row>
    <row r="11" spans="1:7" ht="18" x14ac:dyDescent="0.2">
      <c r="A11" s="1" t="s">
        <v>26</v>
      </c>
      <c r="B11" s="2" t="s">
        <v>6</v>
      </c>
      <c r="C11" s="2" t="s">
        <v>13</v>
      </c>
      <c r="D11" s="2">
        <v>2455</v>
      </c>
      <c r="E11" s="2" t="s">
        <v>27</v>
      </c>
      <c r="F11" s="4">
        <v>45926</v>
      </c>
      <c r="G11" s="2">
        <f t="shared" si="0"/>
        <v>2025</v>
      </c>
    </row>
    <row r="12" spans="1:7" ht="18" x14ac:dyDescent="0.2">
      <c r="A12" s="1" t="s">
        <v>28</v>
      </c>
      <c r="B12" s="2" t="s">
        <v>6</v>
      </c>
      <c r="C12" s="2" t="s">
        <v>13</v>
      </c>
      <c r="D12" s="2">
        <v>1457</v>
      </c>
      <c r="E12" s="2" t="s">
        <v>29</v>
      </c>
      <c r="F12" s="4">
        <v>45912</v>
      </c>
      <c r="G12" s="2">
        <f t="shared" si="0"/>
        <v>2025</v>
      </c>
    </row>
    <row r="13" spans="1:7" ht="18" x14ac:dyDescent="0.2">
      <c r="A13" s="1" t="s">
        <v>30</v>
      </c>
      <c r="B13" s="2" t="s">
        <v>6</v>
      </c>
      <c r="C13" s="2" t="s">
        <v>7</v>
      </c>
      <c r="D13" s="2">
        <v>529</v>
      </c>
      <c r="E13" s="2" t="s">
        <v>31</v>
      </c>
      <c r="F13" s="4">
        <v>45908</v>
      </c>
      <c r="G13" s="2">
        <f t="shared" si="0"/>
        <v>2025</v>
      </c>
    </row>
    <row r="14" spans="1:7" ht="18" x14ac:dyDescent="0.2">
      <c r="A14" s="1" t="s">
        <v>32</v>
      </c>
      <c r="B14" s="2" t="s">
        <v>6</v>
      </c>
      <c r="C14" s="2" t="s">
        <v>13</v>
      </c>
      <c r="D14" s="2">
        <v>1391</v>
      </c>
      <c r="E14" s="2" t="s">
        <v>33</v>
      </c>
      <c r="F14" s="4">
        <v>45821</v>
      </c>
      <c r="G14" s="2">
        <f t="shared" si="0"/>
        <v>2025</v>
      </c>
    </row>
    <row r="15" spans="1:7" ht="18" x14ac:dyDescent="0.2">
      <c r="A15" s="1" t="s">
        <v>34</v>
      </c>
      <c r="B15" s="2" t="s">
        <v>6</v>
      </c>
      <c r="C15" s="2" t="s">
        <v>7</v>
      </c>
      <c r="D15" s="2">
        <v>342</v>
      </c>
      <c r="E15" s="2" t="s">
        <v>35</v>
      </c>
      <c r="F15" s="4">
        <v>45784</v>
      </c>
      <c r="G15" s="2">
        <f t="shared" si="0"/>
        <v>2025</v>
      </c>
    </row>
    <row r="16" spans="1:7" ht="18" x14ac:dyDescent="0.2">
      <c r="A16" s="1" t="s">
        <v>36</v>
      </c>
      <c r="B16" s="2" t="s">
        <v>6</v>
      </c>
      <c r="C16" s="2" t="s">
        <v>13</v>
      </c>
      <c r="D16" s="2">
        <v>1063</v>
      </c>
      <c r="E16" s="2" t="s">
        <v>37</v>
      </c>
      <c r="F16" s="4">
        <v>45779</v>
      </c>
      <c r="G16" s="2">
        <f t="shared" si="0"/>
        <v>2025</v>
      </c>
    </row>
    <row r="17" spans="1:7" ht="18" x14ac:dyDescent="0.2">
      <c r="A17" s="1" t="s">
        <v>38</v>
      </c>
      <c r="B17" s="2" t="s">
        <v>6</v>
      </c>
      <c r="C17" s="2" t="s">
        <v>13</v>
      </c>
      <c r="D17" s="2">
        <v>1040</v>
      </c>
      <c r="E17" s="2" t="s">
        <v>39</v>
      </c>
      <c r="F17" s="4">
        <v>45771</v>
      </c>
      <c r="G17" s="2">
        <f t="shared" si="0"/>
        <v>2025</v>
      </c>
    </row>
    <row r="18" spans="1:7" ht="18" x14ac:dyDescent="0.2">
      <c r="A18" s="1" t="s">
        <v>40</v>
      </c>
      <c r="B18" s="2" t="s">
        <v>6</v>
      </c>
      <c r="C18" s="2" t="s">
        <v>7</v>
      </c>
      <c r="D18" s="2">
        <v>329</v>
      </c>
      <c r="E18" s="2" t="s">
        <v>35</v>
      </c>
      <c r="F18" s="4">
        <v>45756</v>
      </c>
      <c r="G18" s="2">
        <f t="shared" si="0"/>
        <v>2025</v>
      </c>
    </row>
    <row r="19" spans="1:7" ht="18" x14ac:dyDescent="0.2">
      <c r="A19" s="1" t="s">
        <v>41</v>
      </c>
      <c r="B19" s="2" t="s">
        <v>6</v>
      </c>
      <c r="C19" s="2" t="s">
        <v>13</v>
      </c>
      <c r="D19" s="2">
        <v>1854</v>
      </c>
      <c r="E19" s="2" t="s">
        <v>42</v>
      </c>
      <c r="F19" s="4">
        <v>45749</v>
      </c>
      <c r="G19" s="2">
        <f t="shared" si="0"/>
        <v>2025</v>
      </c>
    </row>
    <row r="20" spans="1:7" ht="18" x14ac:dyDescent="0.2">
      <c r="A20" s="1" t="s">
        <v>43</v>
      </c>
      <c r="B20" s="2" t="s">
        <v>6</v>
      </c>
      <c r="C20" s="2" t="s">
        <v>13</v>
      </c>
      <c r="D20" s="2">
        <v>2430</v>
      </c>
      <c r="E20" s="2" t="s">
        <v>44</v>
      </c>
      <c r="F20" s="4">
        <v>45741</v>
      </c>
      <c r="G20" s="2">
        <f t="shared" si="0"/>
        <v>2025</v>
      </c>
    </row>
    <row r="21" spans="1:7" ht="18" x14ac:dyDescent="0.2">
      <c r="A21" s="1" t="s">
        <v>45</v>
      </c>
      <c r="B21" s="2" t="s">
        <v>6</v>
      </c>
      <c r="C21" s="2" t="s">
        <v>13</v>
      </c>
      <c r="D21" s="2">
        <v>1875</v>
      </c>
      <c r="E21" s="2" t="s">
        <v>46</v>
      </c>
      <c r="F21" s="4">
        <v>45721</v>
      </c>
      <c r="G21" s="2">
        <f t="shared" si="0"/>
        <v>2025</v>
      </c>
    </row>
    <row r="22" spans="1:7" ht="18" x14ac:dyDescent="0.2">
      <c r="A22" s="1" t="s">
        <v>47</v>
      </c>
      <c r="B22" s="2" t="s">
        <v>6</v>
      </c>
      <c r="C22" s="2" t="s">
        <v>13</v>
      </c>
      <c r="D22" s="2">
        <v>2385</v>
      </c>
      <c r="E22" s="2" t="s">
        <v>48</v>
      </c>
      <c r="F22" s="4">
        <v>45699</v>
      </c>
      <c r="G22" s="2">
        <f t="shared" si="0"/>
        <v>2025</v>
      </c>
    </row>
    <row r="23" spans="1:7" ht="18" x14ac:dyDescent="0.2">
      <c r="A23" s="1" t="s">
        <v>49</v>
      </c>
      <c r="B23" s="2" t="s">
        <v>6</v>
      </c>
      <c r="C23" s="2" t="s">
        <v>7</v>
      </c>
      <c r="D23" s="2">
        <v>414</v>
      </c>
      <c r="E23" s="2" t="s">
        <v>31</v>
      </c>
      <c r="F23" s="4">
        <v>45693</v>
      </c>
      <c r="G23" s="2">
        <f t="shared" si="0"/>
        <v>2025</v>
      </c>
    </row>
    <row r="24" spans="1:7" ht="18" x14ac:dyDescent="0.2">
      <c r="A24" s="1" t="s">
        <v>50</v>
      </c>
      <c r="B24" s="2" t="s">
        <v>6</v>
      </c>
      <c r="C24" s="2" t="s">
        <v>13</v>
      </c>
      <c r="D24" s="2">
        <v>2411</v>
      </c>
      <c r="E24" s="2" t="s">
        <v>51</v>
      </c>
      <c r="F24" s="4">
        <v>45665</v>
      </c>
      <c r="G24" s="2">
        <f t="shared" si="0"/>
        <v>2025</v>
      </c>
    </row>
    <row r="25" spans="1:7" ht="18" x14ac:dyDescent="0.2">
      <c r="A25" s="1" t="s">
        <v>52</v>
      </c>
      <c r="B25" s="2" t="s">
        <v>6</v>
      </c>
      <c r="C25" s="2" t="s">
        <v>13</v>
      </c>
      <c r="D25" s="2">
        <v>1340</v>
      </c>
      <c r="E25" s="2" t="s">
        <v>20</v>
      </c>
      <c r="F25" s="4">
        <v>45656</v>
      </c>
      <c r="G25" s="2">
        <f t="shared" si="0"/>
        <v>2024</v>
      </c>
    </row>
    <row r="26" spans="1:7" ht="18" x14ac:dyDescent="0.2">
      <c r="A26" s="1" t="s">
        <v>53</v>
      </c>
      <c r="B26" s="2" t="s">
        <v>6</v>
      </c>
      <c r="C26" s="2" t="s">
        <v>19</v>
      </c>
      <c r="D26" s="2">
        <v>782</v>
      </c>
      <c r="E26" s="2" t="s">
        <v>54</v>
      </c>
      <c r="F26" s="4">
        <v>45583</v>
      </c>
      <c r="G26" s="2">
        <f t="shared" si="0"/>
        <v>2024</v>
      </c>
    </row>
    <row r="27" spans="1:7" ht="18" x14ac:dyDescent="0.2">
      <c r="A27" s="1" t="s">
        <v>55</v>
      </c>
      <c r="B27" s="2" t="s">
        <v>6</v>
      </c>
      <c r="C27" s="2" t="s">
        <v>7</v>
      </c>
      <c r="D27" s="2">
        <v>293</v>
      </c>
      <c r="E27" s="2" t="s">
        <v>11</v>
      </c>
      <c r="F27" s="4">
        <v>45547</v>
      </c>
      <c r="G27" s="2">
        <f t="shared" si="0"/>
        <v>2024</v>
      </c>
    </row>
    <row r="28" spans="1:7" ht="18" x14ac:dyDescent="0.2">
      <c r="A28" s="1" t="s">
        <v>56</v>
      </c>
      <c r="B28" s="2" t="s">
        <v>6</v>
      </c>
      <c r="C28" s="2" t="s">
        <v>7</v>
      </c>
      <c r="D28" s="2">
        <v>357</v>
      </c>
      <c r="E28" s="2" t="s">
        <v>35</v>
      </c>
      <c r="F28" s="4">
        <v>45518</v>
      </c>
      <c r="G28" s="2">
        <f t="shared" si="0"/>
        <v>2024</v>
      </c>
    </row>
    <row r="29" spans="1:7" ht="18" x14ac:dyDescent="0.2">
      <c r="A29" s="1" t="s">
        <v>57</v>
      </c>
      <c r="B29" s="2" t="s">
        <v>6</v>
      </c>
      <c r="C29" s="2" t="s">
        <v>19</v>
      </c>
      <c r="D29" s="2">
        <v>719</v>
      </c>
      <c r="E29" s="2" t="s">
        <v>58</v>
      </c>
      <c r="F29" s="4">
        <v>45512</v>
      </c>
      <c r="G29" s="2">
        <f t="shared" si="0"/>
        <v>2024</v>
      </c>
    </row>
    <row r="30" spans="1:7" ht="18" x14ac:dyDescent="0.2">
      <c r="A30" s="1" t="s">
        <v>59</v>
      </c>
      <c r="B30" s="2" t="s">
        <v>6</v>
      </c>
      <c r="C30" s="2" t="s">
        <v>13</v>
      </c>
      <c r="D30" s="2">
        <v>1558</v>
      </c>
      <c r="E30" s="2" t="s">
        <v>20</v>
      </c>
      <c r="F30" s="4">
        <v>45470</v>
      </c>
      <c r="G30" s="2">
        <f t="shared" si="0"/>
        <v>2024</v>
      </c>
    </row>
    <row r="31" spans="1:7" ht="18" x14ac:dyDescent="0.2">
      <c r="A31" s="1" t="s">
        <v>60</v>
      </c>
      <c r="B31" s="2" t="s">
        <v>6</v>
      </c>
      <c r="C31" s="2" t="s">
        <v>7</v>
      </c>
      <c r="D31" s="2">
        <v>187</v>
      </c>
      <c r="E31" s="2" t="s">
        <v>61</v>
      </c>
      <c r="F31" s="4">
        <v>45442</v>
      </c>
      <c r="G31" s="2">
        <f t="shared" si="0"/>
        <v>2024</v>
      </c>
    </row>
    <row r="32" spans="1:7" ht="18" x14ac:dyDescent="0.2">
      <c r="A32" s="1" t="s">
        <v>62</v>
      </c>
      <c r="B32" s="2" t="s">
        <v>6</v>
      </c>
      <c r="C32" s="2" t="s">
        <v>19</v>
      </c>
      <c r="D32" s="2">
        <v>817</v>
      </c>
      <c r="E32" s="2" t="s">
        <v>63</v>
      </c>
      <c r="F32" s="4">
        <v>45434</v>
      </c>
      <c r="G32" s="2">
        <f t="shared" si="0"/>
        <v>2024</v>
      </c>
    </row>
    <row r="33" spans="1:7" ht="18" x14ac:dyDescent="0.2">
      <c r="A33" s="1" t="s">
        <v>64</v>
      </c>
      <c r="B33" s="2" t="s">
        <v>6</v>
      </c>
      <c r="C33" s="2" t="s">
        <v>13</v>
      </c>
      <c r="D33" s="2">
        <v>1145</v>
      </c>
      <c r="E33" s="2" t="s">
        <v>24</v>
      </c>
      <c r="F33" s="4">
        <v>45421</v>
      </c>
      <c r="G33" s="2">
        <f t="shared" si="0"/>
        <v>2024</v>
      </c>
    </row>
    <row r="34" spans="1:7" ht="18" x14ac:dyDescent="0.2">
      <c r="A34" s="1" t="s">
        <v>65</v>
      </c>
      <c r="B34" s="2" t="s">
        <v>6</v>
      </c>
      <c r="C34" s="2" t="s">
        <v>13</v>
      </c>
      <c r="D34" s="2">
        <v>1083</v>
      </c>
      <c r="E34" s="2" t="s">
        <v>24</v>
      </c>
      <c r="F34" s="4">
        <v>45412</v>
      </c>
      <c r="G34" s="2">
        <f t="shared" si="0"/>
        <v>2024</v>
      </c>
    </row>
    <row r="35" spans="1:7" ht="18" x14ac:dyDescent="0.2">
      <c r="A35" s="1" t="s">
        <v>66</v>
      </c>
      <c r="B35" s="2" t="s">
        <v>6</v>
      </c>
      <c r="C35" s="2" t="s">
        <v>13</v>
      </c>
      <c r="D35" s="2">
        <v>1067</v>
      </c>
      <c r="E35" s="2" t="s">
        <v>24</v>
      </c>
      <c r="F35" s="4">
        <v>45404</v>
      </c>
      <c r="G35" s="2">
        <f t="shared" si="0"/>
        <v>2024</v>
      </c>
    </row>
    <row r="36" spans="1:7" ht="18" x14ac:dyDescent="0.2">
      <c r="A36" s="1" t="s">
        <v>67</v>
      </c>
      <c r="B36" s="2" t="s">
        <v>6</v>
      </c>
      <c r="C36" s="2" t="s">
        <v>13</v>
      </c>
      <c r="D36" s="2">
        <v>2332</v>
      </c>
      <c r="E36" s="2" t="s">
        <v>46</v>
      </c>
      <c r="F36" s="4">
        <v>45394</v>
      </c>
      <c r="G36" s="2">
        <f t="shared" si="0"/>
        <v>2024</v>
      </c>
    </row>
    <row r="37" spans="1:7" ht="18" x14ac:dyDescent="0.2">
      <c r="A37" s="1" t="s">
        <v>68</v>
      </c>
      <c r="B37" s="2" t="s">
        <v>6</v>
      </c>
      <c r="C37" s="2" t="s">
        <v>7</v>
      </c>
      <c r="D37" s="2">
        <v>183</v>
      </c>
      <c r="E37" s="2" t="s">
        <v>33</v>
      </c>
      <c r="F37" s="4">
        <v>45373</v>
      </c>
      <c r="G37" s="2">
        <f t="shared" si="0"/>
        <v>2024</v>
      </c>
    </row>
    <row r="38" spans="1:7" ht="18" x14ac:dyDescent="0.2">
      <c r="A38" s="1" t="s">
        <v>69</v>
      </c>
      <c r="B38" s="2" t="s">
        <v>6</v>
      </c>
      <c r="C38" s="2" t="s">
        <v>13</v>
      </c>
      <c r="D38" s="2">
        <v>1208</v>
      </c>
      <c r="E38" s="2" t="s">
        <v>91</v>
      </c>
      <c r="F38" s="4">
        <v>45366</v>
      </c>
      <c r="G38" s="2">
        <f t="shared" si="0"/>
        <v>2024</v>
      </c>
    </row>
    <row r="39" spans="1:7" ht="18" x14ac:dyDescent="0.2">
      <c r="A39" s="1" t="s">
        <v>70</v>
      </c>
      <c r="B39" s="2" t="s">
        <v>6</v>
      </c>
      <c r="C39" s="2" t="s">
        <v>13</v>
      </c>
      <c r="D39" s="2">
        <v>1521</v>
      </c>
      <c r="E39" s="2" t="s">
        <v>22</v>
      </c>
      <c r="F39" s="4">
        <v>45308</v>
      </c>
      <c r="G39" s="2">
        <f t="shared" si="0"/>
        <v>2024</v>
      </c>
    </row>
    <row r="40" spans="1:7" ht="18" x14ac:dyDescent="0.2">
      <c r="A40" s="1" t="s">
        <v>71</v>
      </c>
      <c r="B40" s="2" t="s">
        <v>6</v>
      </c>
      <c r="C40" s="2" t="s">
        <v>7</v>
      </c>
      <c r="D40" s="2">
        <v>464</v>
      </c>
      <c r="E40" s="2" t="s">
        <v>35</v>
      </c>
      <c r="F40" s="4">
        <v>45230</v>
      </c>
      <c r="G40" s="2">
        <f t="shared" si="0"/>
        <v>2023</v>
      </c>
    </row>
    <row r="41" spans="1:7" ht="18" x14ac:dyDescent="0.2">
      <c r="A41" s="1" t="s">
        <v>72</v>
      </c>
      <c r="B41" s="2" t="s">
        <v>6</v>
      </c>
      <c r="C41" s="2" t="s">
        <v>13</v>
      </c>
      <c r="D41" s="2">
        <v>1821</v>
      </c>
      <c r="E41" s="2" t="s">
        <v>73</v>
      </c>
      <c r="F41" s="4">
        <v>45218</v>
      </c>
      <c r="G41" s="2">
        <f t="shared" si="0"/>
        <v>2023</v>
      </c>
    </row>
    <row r="42" spans="1:7" ht="18" x14ac:dyDescent="0.2">
      <c r="A42" s="1" t="s">
        <v>74</v>
      </c>
      <c r="B42" s="2" t="s">
        <v>6</v>
      </c>
      <c r="C42" s="2" t="s">
        <v>19</v>
      </c>
      <c r="D42" s="2">
        <v>743</v>
      </c>
      <c r="E42" s="2" t="s">
        <v>35</v>
      </c>
      <c r="F42" s="4">
        <v>45197</v>
      </c>
      <c r="G42" s="2">
        <f t="shared" si="0"/>
        <v>2023</v>
      </c>
    </row>
    <row r="43" spans="1:7" ht="18" x14ac:dyDescent="0.2">
      <c r="A43" s="1" t="s">
        <v>75</v>
      </c>
      <c r="B43" s="2" t="s">
        <v>6</v>
      </c>
      <c r="C43" s="2" t="s">
        <v>13</v>
      </c>
      <c r="D43" s="2">
        <v>1815</v>
      </c>
      <c r="E43" s="2" t="s">
        <v>73</v>
      </c>
      <c r="F43" s="4">
        <v>45189</v>
      </c>
      <c r="G43" s="2">
        <f t="shared" si="0"/>
        <v>2023</v>
      </c>
    </row>
    <row r="44" spans="1:7" ht="18" x14ac:dyDescent="0.2">
      <c r="A44" s="1" t="s">
        <v>76</v>
      </c>
      <c r="B44" s="2" t="s">
        <v>6</v>
      </c>
      <c r="C44" s="2" t="s">
        <v>19</v>
      </c>
      <c r="D44" s="2">
        <v>849</v>
      </c>
      <c r="E44" s="2" t="s">
        <v>54</v>
      </c>
      <c r="F44" s="4">
        <v>45183</v>
      </c>
      <c r="G44" s="2">
        <f t="shared" si="0"/>
        <v>2023</v>
      </c>
    </row>
    <row r="45" spans="1:7" ht="18" x14ac:dyDescent="0.2">
      <c r="A45" s="1" t="s">
        <v>77</v>
      </c>
      <c r="B45" s="2" t="s">
        <v>6</v>
      </c>
      <c r="C45" s="2" t="s">
        <v>13</v>
      </c>
      <c r="D45" s="2">
        <v>1784</v>
      </c>
      <c r="E45" s="2" t="s">
        <v>73</v>
      </c>
      <c r="F45" s="4">
        <v>45170</v>
      </c>
      <c r="G45" s="2">
        <f t="shared" si="0"/>
        <v>2023</v>
      </c>
    </row>
    <row r="46" spans="1:7" ht="18" x14ac:dyDescent="0.2">
      <c r="A46" s="1" t="s">
        <v>78</v>
      </c>
      <c r="B46" s="2" t="s">
        <v>6</v>
      </c>
      <c r="C46" s="2" t="s">
        <v>13</v>
      </c>
      <c r="D46" s="2">
        <v>2272</v>
      </c>
      <c r="E46" s="2" t="s">
        <v>79</v>
      </c>
      <c r="F46" s="4">
        <v>45153</v>
      </c>
      <c r="G46" s="2">
        <f t="shared" si="0"/>
        <v>2023</v>
      </c>
    </row>
    <row r="47" spans="1:7" ht="18" x14ac:dyDescent="0.2">
      <c r="A47" s="1" t="s">
        <v>80</v>
      </c>
      <c r="B47" s="2" t="s">
        <v>6</v>
      </c>
      <c r="C47" s="2" t="s">
        <v>13</v>
      </c>
      <c r="D47" s="2">
        <v>2229</v>
      </c>
      <c r="E47" s="2" t="s">
        <v>81</v>
      </c>
      <c r="F47" s="4">
        <v>45061</v>
      </c>
      <c r="G47" s="2">
        <f t="shared" si="0"/>
        <v>2023</v>
      </c>
    </row>
    <row r="48" spans="1:7" ht="18" x14ac:dyDescent="0.2">
      <c r="A48" s="1" t="s">
        <v>82</v>
      </c>
      <c r="B48" s="2" t="s">
        <v>6</v>
      </c>
      <c r="C48" s="2" t="s">
        <v>13</v>
      </c>
      <c r="D48" s="2">
        <v>1036</v>
      </c>
      <c r="E48" s="2" t="s">
        <v>83</v>
      </c>
      <c r="F48" s="4">
        <v>45051</v>
      </c>
      <c r="G48" s="2">
        <f t="shared" si="0"/>
        <v>2023</v>
      </c>
    </row>
    <row r="49" spans="1:7" ht="18" x14ac:dyDescent="0.2">
      <c r="A49" s="1" t="s">
        <v>84</v>
      </c>
      <c r="B49" s="2" t="s">
        <v>6</v>
      </c>
      <c r="C49" s="2" t="s">
        <v>7</v>
      </c>
      <c r="D49" s="2">
        <v>289</v>
      </c>
      <c r="E49" s="2" t="s">
        <v>35</v>
      </c>
      <c r="F49" s="4">
        <v>44846</v>
      </c>
      <c r="G49" s="2">
        <f t="shared" si="0"/>
        <v>2022</v>
      </c>
    </row>
    <row r="50" spans="1:7" ht="18" x14ac:dyDescent="0.2">
      <c r="A50" s="1" t="s">
        <v>85</v>
      </c>
      <c r="B50" s="2" t="s">
        <v>6</v>
      </c>
      <c r="C50" s="2" t="s">
        <v>13</v>
      </c>
      <c r="D50" s="2">
        <v>1495</v>
      </c>
      <c r="E50" s="2" t="s">
        <v>20</v>
      </c>
      <c r="F50" s="4">
        <v>44711</v>
      </c>
      <c r="G50" s="2">
        <f t="shared" si="0"/>
        <v>2022</v>
      </c>
    </row>
    <row r="51" spans="1:7" ht="18" x14ac:dyDescent="0.2">
      <c r="A51" s="1" t="s">
        <v>86</v>
      </c>
      <c r="B51" s="2" t="s">
        <v>6</v>
      </c>
      <c r="C51" s="2" t="s">
        <v>7</v>
      </c>
      <c r="D51" s="2">
        <v>291</v>
      </c>
      <c r="E51" s="2" t="s">
        <v>73</v>
      </c>
      <c r="F51" s="4">
        <v>44698</v>
      </c>
      <c r="G51" s="2">
        <f t="shared" si="0"/>
        <v>2022</v>
      </c>
    </row>
    <row r="52" spans="1:7" ht="18" x14ac:dyDescent="0.2">
      <c r="A52" s="1" t="s">
        <v>87</v>
      </c>
      <c r="B52" s="2" t="s">
        <v>6</v>
      </c>
      <c r="C52" s="2" t="s">
        <v>13</v>
      </c>
      <c r="D52" s="2">
        <v>1718</v>
      </c>
      <c r="E52" s="2" t="s">
        <v>17</v>
      </c>
      <c r="F52" s="4">
        <v>44638</v>
      </c>
      <c r="G52" s="2">
        <f t="shared" si="0"/>
        <v>2022</v>
      </c>
    </row>
    <row r="53" spans="1:7" ht="18" x14ac:dyDescent="0.2">
      <c r="A53" s="1" t="s">
        <v>88</v>
      </c>
      <c r="B53" s="2" t="s">
        <v>6</v>
      </c>
      <c r="C53" s="2" t="s">
        <v>13</v>
      </c>
      <c r="D53" s="2">
        <v>2080</v>
      </c>
      <c r="E53" s="2" t="s">
        <v>17</v>
      </c>
      <c r="F53" s="4">
        <v>44565</v>
      </c>
      <c r="G53" s="2">
        <f t="shared" si="0"/>
        <v>2022</v>
      </c>
    </row>
    <row r="54" spans="1:7" ht="18" x14ac:dyDescent="0.2">
      <c r="A54" s="1" t="s">
        <v>89</v>
      </c>
      <c r="B54" s="2" t="s">
        <v>6</v>
      </c>
      <c r="C54" s="2" t="s">
        <v>13</v>
      </c>
      <c r="D54" s="2">
        <v>2138</v>
      </c>
      <c r="E54" s="2" t="s">
        <v>17</v>
      </c>
      <c r="F54" s="4">
        <v>44550</v>
      </c>
      <c r="G54" s="2">
        <f t="shared" si="0"/>
        <v>2021</v>
      </c>
    </row>
    <row r="55" spans="1:7" ht="18" x14ac:dyDescent="0.2">
      <c r="A55" s="1" t="s">
        <v>90</v>
      </c>
      <c r="B55" s="2" t="s">
        <v>6</v>
      </c>
      <c r="C55" s="2" t="s">
        <v>13</v>
      </c>
      <c r="D55" s="2">
        <v>1360</v>
      </c>
      <c r="E55" s="2" t="s">
        <v>91</v>
      </c>
      <c r="F55" s="4">
        <v>44432</v>
      </c>
      <c r="G55" s="2">
        <f t="shared" si="0"/>
        <v>2021</v>
      </c>
    </row>
    <row r="56" spans="1:7" ht="18" x14ac:dyDescent="0.2">
      <c r="A56" s="1" t="s">
        <v>92</v>
      </c>
      <c r="B56" s="2" t="s">
        <v>6</v>
      </c>
      <c r="C56" s="2" t="s">
        <v>13</v>
      </c>
      <c r="D56" s="2">
        <v>1366</v>
      </c>
      <c r="E56" s="2" t="s">
        <v>91</v>
      </c>
      <c r="F56" s="4">
        <v>44431</v>
      </c>
      <c r="G56" s="2">
        <f t="shared" si="0"/>
        <v>2021</v>
      </c>
    </row>
    <row r="57" spans="1:7" ht="18" x14ac:dyDescent="0.2">
      <c r="A57" s="1" t="s">
        <v>93</v>
      </c>
      <c r="B57" s="2" t="s">
        <v>6</v>
      </c>
      <c r="C57" s="2" t="s">
        <v>7</v>
      </c>
      <c r="D57" s="2">
        <v>275</v>
      </c>
      <c r="E57" s="2" t="s">
        <v>33</v>
      </c>
      <c r="F57" s="4">
        <v>44425</v>
      </c>
      <c r="G57" s="2">
        <f t="shared" si="0"/>
        <v>2021</v>
      </c>
    </row>
    <row r="58" spans="1:7" ht="18" x14ac:dyDescent="0.2">
      <c r="A58" s="1" t="s">
        <v>94</v>
      </c>
      <c r="B58" s="2" t="s">
        <v>6</v>
      </c>
      <c r="C58" s="2" t="s">
        <v>19</v>
      </c>
      <c r="D58" s="2">
        <v>871</v>
      </c>
      <c r="E58" s="2" t="s">
        <v>95</v>
      </c>
      <c r="F58" s="4">
        <v>44320</v>
      </c>
      <c r="G58" s="2">
        <f t="shared" si="0"/>
        <v>2021</v>
      </c>
    </row>
    <row r="59" spans="1:7" ht="18" x14ac:dyDescent="0.2">
      <c r="A59" s="1" t="s">
        <v>96</v>
      </c>
      <c r="B59" s="2" t="s">
        <v>6</v>
      </c>
      <c r="C59" s="2" t="s">
        <v>19</v>
      </c>
      <c r="D59" s="2">
        <v>707</v>
      </c>
      <c r="E59" s="2" t="s">
        <v>54</v>
      </c>
      <c r="F59" s="4">
        <v>44279</v>
      </c>
      <c r="G59" s="2">
        <f t="shared" si="0"/>
        <v>2021</v>
      </c>
    </row>
    <row r="60" spans="1:7" ht="18" x14ac:dyDescent="0.2">
      <c r="A60" s="1" t="s">
        <v>97</v>
      </c>
      <c r="B60" s="2" t="s">
        <v>6</v>
      </c>
      <c r="C60" s="2" t="s">
        <v>7</v>
      </c>
      <c r="D60" s="2">
        <v>634</v>
      </c>
      <c r="E60" s="2" t="s">
        <v>35</v>
      </c>
      <c r="F60" s="4">
        <v>44279</v>
      </c>
      <c r="G60" s="2">
        <f t="shared" si="0"/>
        <v>2021</v>
      </c>
    </row>
    <row r="61" spans="1:7" ht="18" x14ac:dyDescent="0.2">
      <c r="A61" s="1" t="s">
        <v>98</v>
      </c>
      <c r="B61" s="2" t="s">
        <v>6</v>
      </c>
      <c r="C61" s="2" t="s">
        <v>19</v>
      </c>
      <c r="D61" s="2">
        <v>695</v>
      </c>
      <c r="E61" s="2" t="s">
        <v>35</v>
      </c>
      <c r="F61" s="4">
        <v>44278</v>
      </c>
      <c r="G61" s="2">
        <f t="shared" si="0"/>
        <v>2021</v>
      </c>
    </row>
    <row r="62" spans="1:7" ht="18" x14ac:dyDescent="0.2">
      <c r="A62" s="1" t="s">
        <v>99</v>
      </c>
      <c r="B62" s="2" t="s">
        <v>6</v>
      </c>
      <c r="C62" s="2" t="s">
        <v>13</v>
      </c>
      <c r="D62" s="2">
        <v>1119</v>
      </c>
      <c r="E62" s="2" t="s">
        <v>91</v>
      </c>
      <c r="F62" s="4">
        <v>44272</v>
      </c>
      <c r="G62" s="2">
        <f t="shared" si="0"/>
        <v>2021</v>
      </c>
    </row>
    <row r="63" spans="1:7" ht="18" x14ac:dyDescent="0.2">
      <c r="A63" s="1" t="s">
        <v>100</v>
      </c>
      <c r="B63" s="2" t="s">
        <v>6</v>
      </c>
      <c r="C63" s="2" t="s">
        <v>7</v>
      </c>
      <c r="D63" s="2">
        <v>659</v>
      </c>
      <c r="E63" s="2" t="s">
        <v>20</v>
      </c>
      <c r="F63" s="4">
        <v>44245</v>
      </c>
      <c r="G63" s="2">
        <f t="shared" si="0"/>
        <v>2021</v>
      </c>
    </row>
    <row r="64" spans="1:7" ht="18" x14ac:dyDescent="0.2">
      <c r="A64" s="1" t="s">
        <v>101</v>
      </c>
      <c r="B64" s="2" t="s">
        <v>6</v>
      </c>
      <c r="C64" s="2" t="s">
        <v>13</v>
      </c>
      <c r="D64" s="2">
        <v>1267</v>
      </c>
      <c r="E64" s="2" t="s">
        <v>91</v>
      </c>
      <c r="F64" s="4">
        <v>44242</v>
      </c>
      <c r="G64" s="2">
        <f t="shared" si="0"/>
        <v>2021</v>
      </c>
    </row>
    <row r="65" spans="1:7" ht="18" x14ac:dyDescent="0.2">
      <c r="A65" s="1" t="s">
        <v>102</v>
      </c>
      <c r="B65" s="2" t="s">
        <v>6</v>
      </c>
      <c r="C65" s="2" t="s">
        <v>13</v>
      </c>
      <c r="D65" s="2">
        <v>1237</v>
      </c>
      <c r="E65" s="2" t="s">
        <v>91</v>
      </c>
      <c r="F65" s="4">
        <v>44194</v>
      </c>
      <c r="G65" s="2">
        <f t="shared" si="0"/>
        <v>2020</v>
      </c>
    </row>
    <row r="66" spans="1:7" ht="18" x14ac:dyDescent="0.2">
      <c r="A66" s="1" t="s">
        <v>103</v>
      </c>
      <c r="B66" s="2" t="s">
        <v>6</v>
      </c>
      <c r="C66" s="2" t="s">
        <v>7</v>
      </c>
      <c r="D66" s="2">
        <v>193</v>
      </c>
      <c r="E66" s="2" t="s">
        <v>17</v>
      </c>
      <c r="F66" s="4">
        <v>44167</v>
      </c>
      <c r="G66" s="2">
        <f t="shared" si="0"/>
        <v>2020</v>
      </c>
    </row>
    <row r="67" spans="1:7" ht="18" x14ac:dyDescent="0.2">
      <c r="A67" s="1" t="s">
        <v>104</v>
      </c>
      <c r="B67" s="2" t="s">
        <v>6</v>
      </c>
      <c r="C67" s="2" t="s">
        <v>19</v>
      </c>
      <c r="D67" s="2">
        <v>855</v>
      </c>
      <c r="E67" s="2" t="s">
        <v>29</v>
      </c>
      <c r="F67" s="4">
        <v>44145</v>
      </c>
      <c r="G67" s="2">
        <f t="shared" ref="G67:G130" si="1">YEAR(F67)</f>
        <v>2020</v>
      </c>
    </row>
    <row r="68" spans="1:7" ht="18" x14ac:dyDescent="0.2">
      <c r="A68" s="1" t="s">
        <v>105</v>
      </c>
      <c r="B68" s="2" t="s">
        <v>6</v>
      </c>
      <c r="C68" s="2" t="s">
        <v>19</v>
      </c>
      <c r="D68" s="2">
        <v>877</v>
      </c>
      <c r="E68" s="2" t="s">
        <v>33</v>
      </c>
      <c r="F68" s="4">
        <v>43999</v>
      </c>
      <c r="G68" s="2">
        <f t="shared" si="1"/>
        <v>2020</v>
      </c>
    </row>
    <row r="69" spans="1:7" ht="18" x14ac:dyDescent="0.2">
      <c r="A69" s="1" t="s">
        <v>106</v>
      </c>
      <c r="B69" s="2" t="s">
        <v>6</v>
      </c>
      <c r="C69" s="2" t="s">
        <v>7</v>
      </c>
      <c r="D69" s="2">
        <v>339</v>
      </c>
      <c r="E69" s="2" t="s">
        <v>107</v>
      </c>
      <c r="F69" s="4">
        <v>43991</v>
      </c>
      <c r="G69" s="2">
        <f t="shared" si="1"/>
        <v>2020</v>
      </c>
    </row>
    <row r="70" spans="1:7" ht="18" x14ac:dyDescent="0.2">
      <c r="A70" s="1" t="s">
        <v>108</v>
      </c>
      <c r="B70" s="2" t="s">
        <v>6</v>
      </c>
      <c r="C70" s="2" t="s">
        <v>13</v>
      </c>
      <c r="D70" s="2">
        <v>1144</v>
      </c>
      <c r="E70" s="2" t="s">
        <v>109</v>
      </c>
      <c r="F70" s="4">
        <v>43972</v>
      </c>
      <c r="G70" s="2">
        <f t="shared" si="1"/>
        <v>2020</v>
      </c>
    </row>
    <row r="71" spans="1:7" ht="18" x14ac:dyDescent="0.2">
      <c r="A71" s="1" t="s">
        <v>110</v>
      </c>
      <c r="B71" s="2" t="s">
        <v>6</v>
      </c>
      <c r="C71" s="2" t="s">
        <v>7</v>
      </c>
      <c r="D71" s="2">
        <v>227</v>
      </c>
      <c r="E71" s="2" t="s">
        <v>33</v>
      </c>
      <c r="F71" s="4">
        <v>43839</v>
      </c>
      <c r="G71" s="2">
        <f t="shared" si="1"/>
        <v>2020</v>
      </c>
    </row>
    <row r="72" spans="1:7" ht="18" x14ac:dyDescent="0.2">
      <c r="A72" s="1" t="s">
        <v>111</v>
      </c>
      <c r="B72" s="2" t="s">
        <v>6</v>
      </c>
      <c r="C72" s="2" t="s">
        <v>7</v>
      </c>
      <c r="D72" s="2">
        <v>254</v>
      </c>
      <c r="E72" s="2" t="s">
        <v>54</v>
      </c>
      <c r="F72" s="4">
        <v>43735</v>
      </c>
      <c r="G72" s="2">
        <f t="shared" si="1"/>
        <v>2019</v>
      </c>
    </row>
    <row r="73" spans="1:7" ht="18" x14ac:dyDescent="0.2">
      <c r="A73" s="1" t="s">
        <v>112</v>
      </c>
      <c r="B73" s="2" t="s">
        <v>6</v>
      </c>
      <c r="C73" s="2" t="s">
        <v>19</v>
      </c>
      <c r="D73" s="2">
        <v>869</v>
      </c>
      <c r="E73" s="2" t="s">
        <v>107</v>
      </c>
      <c r="F73" s="4">
        <v>43675</v>
      </c>
      <c r="G73" s="2">
        <f t="shared" si="1"/>
        <v>2019</v>
      </c>
    </row>
    <row r="74" spans="1:7" ht="18" x14ac:dyDescent="0.2">
      <c r="A74" s="1" t="s">
        <v>113</v>
      </c>
      <c r="B74" s="2" t="s">
        <v>6</v>
      </c>
      <c r="C74" s="2" t="s">
        <v>19</v>
      </c>
      <c r="D74" s="2">
        <v>794</v>
      </c>
      <c r="E74" s="2" t="s">
        <v>33</v>
      </c>
      <c r="F74" s="4">
        <v>43650</v>
      </c>
      <c r="G74" s="2">
        <f t="shared" si="1"/>
        <v>2019</v>
      </c>
    </row>
    <row r="75" spans="1:7" ht="18" x14ac:dyDescent="0.2">
      <c r="A75" s="1" t="s">
        <v>114</v>
      </c>
      <c r="B75" s="2" t="s">
        <v>6</v>
      </c>
      <c r="C75" s="2" t="s">
        <v>19</v>
      </c>
      <c r="D75" s="2">
        <v>812</v>
      </c>
      <c r="E75" s="2" t="s">
        <v>115</v>
      </c>
      <c r="F75" s="4">
        <v>43601</v>
      </c>
      <c r="G75" s="2">
        <f t="shared" si="1"/>
        <v>2019</v>
      </c>
    </row>
    <row r="76" spans="1:7" ht="18" x14ac:dyDescent="0.2">
      <c r="A76" s="1" t="s">
        <v>116</v>
      </c>
      <c r="B76" s="2" t="s">
        <v>6</v>
      </c>
      <c r="C76" s="2" t="s">
        <v>13</v>
      </c>
      <c r="D76" s="2">
        <v>1167</v>
      </c>
      <c r="E76" s="2" t="s">
        <v>117</v>
      </c>
      <c r="F76" s="4">
        <v>43396</v>
      </c>
      <c r="G76" s="2">
        <f t="shared" si="1"/>
        <v>2018</v>
      </c>
    </row>
    <row r="77" spans="1:7" ht="18" x14ac:dyDescent="0.2">
      <c r="A77" s="1" t="s">
        <v>118</v>
      </c>
      <c r="B77" s="2" t="s">
        <v>6</v>
      </c>
      <c r="C77" s="2" t="s">
        <v>19</v>
      </c>
      <c r="D77" s="2">
        <v>776</v>
      </c>
      <c r="E77" s="2" t="s">
        <v>35</v>
      </c>
      <c r="F77" s="4">
        <v>43335</v>
      </c>
      <c r="G77" s="2">
        <f t="shared" si="1"/>
        <v>2018</v>
      </c>
    </row>
    <row r="78" spans="1:7" ht="18" x14ac:dyDescent="0.2">
      <c r="A78" s="1" t="s">
        <v>119</v>
      </c>
      <c r="B78" s="2" t="s">
        <v>6</v>
      </c>
      <c r="C78" s="2" t="s">
        <v>19</v>
      </c>
      <c r="D78" s="2">
        <v>729</v>
      </c>
      <c r="E78" s="2" t="s">
        <v>54</v>
      </c>
      <c r="F78" s="4">
        <v>43287</v>
      </c>
      <c r="G78" s="2">
        <f t="shared" si="1"/>
        <v>2018</v>
      </c>
    </row>
    <row r="79" spans="1:7" ht="18" x14ac:dyDescent="0.2">
      <c r="A79" s="1" t="s">
        <v>120</v>
      </c>
      <c r="B79" s="2" t="s">
        <v>6</v>
      </c>
      <c r="C79" s="2" t="s">
        <v>13</v>
      </c>
      <c r="D79" s="2">
        <v>1278</v>
      </c>
      <c r="E79" s="2" t="s">
        <v>17</v>
      </c>
      <c r="F79" s="4">
        <v>43278</v>
      </c>
      <c r="G79" s="2">
        <f t="shared" si="1"/>
        <v>2018</v>
      </c>
    </row>
    <row r="80" spans="1:7" ht="18" x14ac:dyDescent="0.2">
      <c r="A80" s="1" t="s">
        <v>121</v>
      </c>
      <c r="B80" s="2" t="s">
        <v>6</v>
      </c>
      <c r="C80" s="2" t="s">
        <v>7</v>
      </c>
      <c r="D80" s="2">
        <v>276</v>
      </c>
      <c r="E80" s="2" t="s">
        <v>122</v>
      </c>
      <c r="F80" s="4">
        <v>43179</v>
      </c>
      <c r="G80" s="2">
        <f t="shared" si="1"/>
        <v>2018</v>
      </c>
    </row>
    <row r="81" spans="1:7" ht="18" x14ac:dyDescent="0.2">
      <c r="A81" s="1" t="s">
        <v>123</v>
      </c>
      <c r="B81" s="2" t="s">
        <v>6</v>
      </c>
      <c r="C81" s="2" t="s">
        <v>7</v>
      </c>
      <c r="D81" s="2">
        <v>214</v>
      </c>
      <c r="E81" s="2" t="s">
        <v>124</v>
      </c>
      <c r="F81" s="4">
        <v>43153</v>
      </c>
      <c r="G81" s="2">
        <f t="shared" si="1"/>
        <v>2018</v>
      </c>
    </row>
    <row r="82" spans="1:7" ht="18" x14ac:dyDescent="0.2">
      <c r="A82" s="1" t="s">
        <v>125</v>
      </c>
      <c r="B82" s="2" t="s">
        <v>6</v>
      </c>
      <c r="C82" s="2" t="s">
        <v>7</v>
      </c>
      <c r="D82" s="2">
        <v>258</v>
      </c>
      <c r="E82" s="2" t="s">
        <v>35</v>
      </c>
      <c r="F82" s="4">
        <v>43143</v>
      </c>
      <c r="G82" s="2">
        <f t="shared" si="1"/>
        <v>2018</v>
      </c>
    </row>
    <row r="83" spans="1:7" ht="18" x14ac:dyDescent="0.2">
      <c r="A83" s="1" t="s">
        <v>126</v>
      </c>
      <c r="B83" s="2" t="s">
        <v>6</v>
      </c>
      <c r="C83" s="2" t="s">
        <v>7</v>
      </c>
      <c r="D83" s="2">
        <v>239</v>
      </c>
      <c r="E83" s="2" t="s">
        <v>35</v>
      </c>
      <c r="F83" s="4">
        <v>43143</v>
      </c>
      <c r="G83" s="2">
        <f t="shared" si="1"/>
        <v>2018</v>
      </c>
    </row>
    <row r="84" spans="1:7" ht="18" x14ac:dyDescent="0.2">
      <c r="A84" s="1" t="s">
        <v>127</v>
      </c>
      <c r="B84" s="2" t="s">
        <v>6</v>
      </c>
      <c r="C84" s="2" t="s">
        <v>13</v>
      </c>
      <c r="D84" s="2">
        <v>1309</v>
      </c>
      <c r="E84" s="2" t="s">
        <v>33</v>
      </c>
      <c r="F84" s="4">
        <v>43118</v>
      </c>
      <c r="G84" s="2">
        <f t="shared" si="1"/>
        <v>2018</v>
      </c>
    </row>
    <row r="85" spans="1:7" ht="18" x14ac:dyDescent="0.2">
      <c r="A85" s="1" t="s">
        <v>128</v>
      </c>
      <c r="B85" s="2" t="s">
        <v>6</v>
      </c>
      <c r="C85" s="2" t="s">
        <v>7</v>
      </c>
      <c r="D85" s="2">
        <v>272</v>
      </c>
      <c r="E85" s="2" t="s">
        <v>107</v>
      </c>
      <c r="F85" s="4">
        <v>43098</v>
      </c>
      <c r="G85" s="2">
        <f t="shared" si="1"/>
        <v>2017</v>
      </c>
    </row>
    <row r="86" spans="1:7" ht="18" x14ac:dyDescent="0.2">
      <c r="A86" s="1" t="s">
        <v>129</v>
      </c>
      <c r="B86" s="2" t="s">
        <v>6</v>
      </c>
      <c r="C86" s="2" t="s">
        <v>7</v>
      </c>
      <c r="D86" s="2">
        <v>237</v>
      </c>
      <c r="E86" s="2" t="s">
        <v>122</v>
      </c>
      <c r="F86" s="4">
        <v>43041</v>
      </c>
      <c r="G86" s="2">
        <f t="shared" si="1"/>
        <v>2017</v>
      </c>
    </row>
    <row r="87" spans="1:7" ht="18" x14ac:dyDescent="0.2">
      <c r="A87" s="1" t="s">
        <v>130</v>
      </c>
      <c r="B87" s="2" t="s">
        <v>6</v>
      </c>
      <c r="C87" s="2" t="s">
        <v>7</v>
      </c>
      <c r="D87" s="2">
        <v>182</v>
      </c>
      <c r="E87" s="2" t="s">
        <v>35</v>
      </c>
      <c r="F87" s="4">
        <v>43012</v>
      </c>
      <c r="G87" s="2">
        <f t="shared" si="1"/>
        <v>2017</v>
      </c>
    </row>
    <row r="88" spans="1:7" ht="18" x14ac:dyDescent="0.2">
      <c r="A88" s="1" t="s">
        <v>131</v>
      </c>
      <c r="B88" s="2" t="s">
        <v>6</v>
      </c>
      <c r="C88" s="2" t="s">
        <v>7</v>
      </c>
      <c r="D88" s="2">
        <v>250</v>
      </c>
      <c r="E88" s="2" t="s">
        <v>35</v>
      </c>
      <c r="F88" s="4">
        <v>43012</v>
      </c>
      <c r="G88" s="2">
        <f t="shared" si="1"/>
        <v>2017</v>
      </c>
    </row>
    <row r="89" spans="1:7" ht="18" x14ac:dyDescent="0.2">
      <c r="A89" s="1" t="s">
        <v>132</v>
      </c>
      <c r="B89" s="2" t="s">
        <v>6</v>
      </c>
      <c r="C89" s="2" t="s">
        <v>7</v>
      </c>
      <c r="D89" s="2">
        <v>159</v>
      </c>
      <c r="E89" s="2" t="s">
        <v>124</v>
      </c>
      <c r="F89" s="4">
        <v>42883</v>
      </c>
      <c r="G89" s="2">
        <f t="shared" si="1"/>
        <v>2017</v>
      </c>
    </row>
    <row r="90" spans="1:7" ht="18" x14ac:dyDescent="0.2">
      <c r="A90" s="1" t="s">
        <v>133</v>
      </c>
      <c r="B90" s="2" t="s">
        <v>6</v>
      </c>
      <c r="C90" s="2" t="s">
        <v>13</v>
      </c>
      <c r="D90" s="2">
        <v>1618</v>
      </c>
      <c r="E90" s="2" t="s">
        <v>134</v>
      </c>
      <c r="F90" s="4">
        <v>42676</v>
      </c>
      <c r="G90" s="2">
        <f t="shared" si="1"/>
        <v>2016</v>
      </c>
    </row>
    <row r="91" spans="1:7" ht="18" x14ac:dyDescent="0.2">
      <c r="A91" s="1" t="s">
        <v>135</v>
      </c>
      <c r="B91" s="2" t="s">
        <v>6</v>
      </c>
      <c r="C91" s="2" t="s">
        <v>7</v>
      </c>
      <c r="D91" s="2">
        <v>451</v>
      </c>
      <c r="E91" s="2" t="s">
        <v>54</v>
      </c>
      <c r="F91" s="4">
        <v>42615</v>
      </c>
      <c r="G91" s="2">
        <f t="shared" si="1"/>
        <v>2016</v>
      </c>
    </row>
    <row r="92" spans="1:7" ht="18" x14ac:dyDescent="0.2">
      <c r="A92" s="1" t="s">
        <v>136</v>
      </c>
      <c r="B92" s="2" t="s">
        <v>6</v>
      </c>
      <c r="C92" s="2" t="s">
        <v>13</v>
      </c>
      <c r="D92" s="2">
        <v>1528</v>
      </c>
      <c r="E92" s="2" t="s">
        <v>137</v>
      </c>
      <c r="F92" s="4">
        <v>42450</v>
      </c>
      <c r="G92" s="2">
        <f t="shared" si="1"/>
        <v>2016</v>
      </c>
    </row>
    <row r="93" spans="1:7" ht="18" x14ac:dyDescent="0.2">
      <c r="A93" s="1" t="s">
        <v>138</v>
      </c>
      <c r="B93" s="2" t="s">
        <v>6</v>
      </c>
      <c r="C93" s="2" t="s">
        <v>7</v>
      </c>
      <c r="D93" s="2">
        <v>314</v>
      </c>
      <c r="E93" s="2" t="s">
        <v>107</v>
      </c>
      <c r="F93" s="4">
        <v>42383</v>
      </c>
      <c r="G93" s="2">
        <f t="shared" si="1"/>
        <v>2016</v>
      </c>
    </row>
    <row r="94" spans="1:7" ht="18" x14ac:dyDescent="0.2">
      <c r="A94" s="1" t="s">
        <v>139</v>
      </c>
      <c r="B94" s="2" t="s">
        <v>6</v>
      </c>
      <c r="C94" s="2" t="s">
        <v>7</v>
      </c>
      <c r="D94" s="2">
        <v>207</v>
      </c>
      <c r="E94" s="2" t="s">
        <v>33</v>
      </c>
      <c r="F94" s="4">
        <v>42130</v>
      </c>
      <c r="G94" s="2">
        <f t="shared" si="1"/>
        <v>2015</v>
      </c>
    </row>
    <row r="95" spans="1:7" ht="18" x14ac:dyDescent="0.2">
      <c r="A95" s="1" t="s">
        <v>140</v>
      </c>
      <c r="B95" s="2" t="s">
        <v>6</v>
      </c>
      <c r="C95" s="2" t="s">
        <v>19</v>
      </c>
      <c r="D95" s="2">
        <v>834</v>
      </c>
      <c r="E95" s="2" t="s">
        <v>17</v>
      </c>
      <c r="F95" s="4">
        <v>42103</v>
      </c>
      <c r="G95" s="2">
        <f t="shared" si="1"/>
        <v>2015</v>
      </c>
    </row>
    <row r="96" spans="1:7" ht="18" x14ac:dyDescent="0.2">
      <c r="A96" s="1" t="s">
        <v>141</v>
      </c>
      <c r="B96" s="2" t="s">
        <v>6</v>
      </c>
      <c r="C96" s="2" t="s">
        <v>7</v>
      </c>
      <c r="D96" s="2">
        <v>211</v>
      </c>
      <c r="E96" s="2" t="s">
        <v>17</v>
      </c>
      <c r="F96" s="4">
        <v>42103</v>
      </c>
      <c r="G96" s="2">
        <f t="shared" si="1"/>
        <v>2015</v>
      </c>
    </row>
    <row r="97" spans="1:7" ht="18" x14ac:dyDescent="0.2">
      <c r="A97" s="1" t="s">
        <v>142</v>
      </c>
      <c r="B97" s="2" t="s">
        <v>6</v>
      </c>
      <c r="C97" s="2" t="s">
        <v>7</v>
      </c>
      <c r="D97" s="2">
        <v>263</v>
      </c>
      <c r="E97" s="2" t="s">
        <v>143</v>
      </c>
      <c r="F97" s="4">
        <v>42068</v>
      </c>
      <c r="G97" s="2">
        <f t="shared" si="1"/>
        <v>2015</v>
      </c>
    </row>
    <row r="98" spans="1:7" ht="18" x14ac:dyDescent="0.2">
      <c r="A98" s="1" t="s">
        <v>144</v>
      </c>
      <c r="B98" s="2" t="s">
        <v>6</v>
      </c>
      <c r="C98" s="2" t="s">
        <v>7</v>
      </c>
      <c r="D98" s="2">
        <v>308</v>
      </c>
      <c r="E98" s="2" t="s">
        <v>54</v>
      </c>
      <c r="F98" s="4">
        <v>42003</v>
      </c>
      <c r="G98" s="2">
        <f t="shared" si="1"/>
        <v>2014</v>
      </c>
    </row>
    <row r="99" spans="1:7" ht="18" x14ac:dyDescent="0.2">
      <c r="A99" s="1" t="s">
        <v>145</v>
      </c>
      <c r="B99" s="2" t="s">
        <v>6</v>
      </c>
      <c r="C99" s="2" t="s">
        <v>19</v>
      </c>
      <c r="D99" s="2">
        <v>761</v>
      </c>
      <c r="E99" s="2" t="s">
        <v>95</v>
      </c>
      <c r="F99" s="4">
        <v>41849</v>
      </c>
      <c r="G99" s="2">
        <f t="shared" si="1"/>
        <v>2014</v>
      </c>
    </row>
    <row r="100" spans="1:7" ht="18" x14ac:dyDescent="0.2">
      <c r="A100" s="1" t="s">
        <v>146</v>
      </c>
      <c r="B100" s="2" t="s">
        <v>6</v>
      </c>
      <c r="C100" s="2" t="s">
        <v>7</v>
      </c>
      <c r="D100" s="2">
        <v>612</v>
      </c>
      <c r="E100" s="2" t="s">
        <v>107</v>
      </c>
      <c r="F100" s="4">
        <v>41794</v>
      </c>
      <c r="G100" s="2">
        <f t="shared" si="1"/>
        <v>2014</v>
      </c>
    </row>
    <row r="101" spans="1:7" ht="18" x14ac:dyDescent="0.2">
      <c r="A101" s="1" t="s">
        <v>147</v>
      </c>
      <c r="B101" s="2" t="s">
        <v>6</v>
      </c>
      <c r="C101" s="2" t="s">
        <v>7</v>
      </c>
      <c r="D101" s="2">
        <v>321</v>
      </c>
      <c r="E101" s="2" t="s">
        <v>107</v>
      </c>
      <c r="F101" s="4">
        <v>41792</v>
      </c>
      <c r="G101" s="2">
        <f t="shared" si="1"/>
        <v>2014</v>
      </c>
    </row>
    <row r="102" spans="1:7" ht="18" x14ac:dyDescent="0.2">
      <c r="A102" s="1" t="s">
        <v>148</v>
      </c>
      <c r="B102" s="2" t="s">
        <v>6</v>
      </c>
      <c r="C102" s="2" t="s">
        <v>13</v>
      </c>
      <c r="D102" s="2">
        <v>1336</v>
      </c>
      <c r="E102" s="2" t="s">
        <v>149</v>
      </c>
      <c r="F102" s="4">
        <v>41660</v>
      </c>
      <c r="G102" s="2">
        <f t="shared" si="1"/>
        <v>2014</v>
      </c>
    </row>
    <row r="103" spans="1:7" ht="18" x14ac:dyDescent="0.2">
      <c r="A103" s="1" t="s">
        <v>150</v>
      </c>
      <c r="B103" s="2" t="s">
        <v>6</v>
      </c>
      <c r="C103" s="2" t="s">
        <v>13</v>
      </c>
      <c r="D103" s="2">
        <v>1398</v>
      </c>
      <c r="E103" s="2" t="s">
        <v>81</v>
      </c>
      <c r="F103" s="4">
        <v>41624</v>
      </c>
      <c r="G103" s="2">
        <f t="shared" si="1"/>
        <v>2013</v>
      </c>
    </row>
    <row r="104" spans="1:7" ht="18" x14ac:dyDescent="0.2">
      <c r="A104" s="1" t="s">
        <v>151</v>
      </c>
      <c r="B104" s="2" t="s">
        <v>6</v>
      </c>
      <c r="C104" s="2" t="s">
        <v>19</v>
      </c>
      <c r="D104" s="2">
        <v>848</v>
      </c>
      <c r="E104" s="2" t="s">
        <v>95</v>
      </c>
      <c r="F104" s="4">
        <v>41324</v>
      </c>
      <c r="G104" s="2">
        <f t="shared" si="1"/>
        <v>2013</v>
      </c>
    </row>
    <row r="105" spans="1:7" ht="18" x14ac:dyDescent="0.2">
      <c r="A105" s="1" t="s">
        <v>152</v>
      </c>
      <c r="B105" s="2" t="s">
        <v>6</v>
      </c>
      <c r="C105" s="2" t="s">
        <v>7</v>
      </c>
      <c r="D105" s="2">
        <v>331</v>
      </c>
      <c r="E105" s="2" t="s">
        <v>107</v>
      </c>
      <c r="F105" s="4">
        <v>41297</v>
      </c>
      <c r="G105" s="2">
        <f t="shared" si="1"/>
        <v>2013</v>
      </c>
    </row>
    <row r="106" spans="1:7" ht="18" x14ac:dyDescent="0.2">
      <c r="A106" s="1" t="s">
        <v>153</v>
      </c>
      <c r="B106" s="2" t="s">
        <v>6</v>
      </c>
      <c r="C106" s="2" t="s">
        <v>13</v>
      </c>
      <c r="D106" s="2">
        <v>1304</v>
      </c>
      <c r="E106" s="2" t="s">
        <v>149</v>
      </c>
      <c r="F106" s="4">
        <v>41158</v>
      </c>
      <c r="G106" s="2">
        <f t="shared" si="1"/>
        <v>2012</v>
      </c>
    </row>
    <row r="107" spans="1:7" ht="18" x14ac:dyDescent="0.2">
      <c r="A107" s="1" t="s">
        <v>154</v>
      </c>
      <c r="B107" s="2" t="s">
        <v>6</v>
      </c>
      <c r="C107" s="2" t="s">
        <v>13</v>
      </c>
      <c r="D107" s="2">
        <v>1268</v>
      </c>
      <c r="E107" s="2" t="s">
        <v>149</v>
      </c>
      <c r="F107" s="4">
        <v>41089</v>
      </c>
      <c r="G107" s="2">
        <f t="shared" si="1"/>
        <v>2012</v>
      </c>
    </row>
    <row r="108" spans="1:7" ht="18" x14ac:dyDescent="0.2">
      <c r="A108" s="1" t="s">
        <v>155</v>
      </c>
      <c r="B108" s="2" t="s">
        <v>6</v>
      </c>
      <c r="C108" s="2" t="s">
        <v>13</v>
      </c>
      <c r="D108" s="2">
        <v>1334</v>
      </c>
      <c r="E108" s="2" t="s">
        <v>156</v>
      </c>
      <c r="F108" s="4">
        <v>41023</v>
      </c>
      <c r="G108" s="2">
        <f t="shared" si="1"/>
        <v>2012</v>
      </c>
    </row>
    <row r="109" spans="1:7" ht="18" x14ac:dyDescent="0.2">
      <c r="A109" s="1" t="s">
        <v>157</v>
      </c>
      <c r="B109" s="2" t="s">
        <v>6</v>
      </c>
      <c r="C109" s="2" t="s">
        <v>13</v>
      </c>
      <c r="D109" s="2">
        <v>1262</v>
      </c>
      <c r="E109" s="2" t="s">
        <v>149</v>
      </c>
      <c r="F109" s="4">
        <v>40666</v>
      </c>
      <c r="G109" s="2">
        <f t="shared" si="1"/>
        <v>2011</v>
      </c>
    </row>
    <row r="110" spans="1:7" ht="18" x14ac:dyDescent="0.2">
      <c r="A110" s="1" t="s">
        <v>158</v>
      </c>
      <c r="B110" s="2" t="s">
        <v>6</v>
      </c>
      <c r="C110" s="2" t="s">
        <v>13</v>
      </c>
      <c r="D110" s="2">
        <v>1255</v>
      </c>
      <c r="E110" s="2" t="s">
        <v>159</v>
      </c>
      <c r="F110" s="4">
        <v>40547</v>
      </c>
      <c r="G110" s="2">
        <f t="shared" si="1"/>
        <v>2011</v>
      </c>
    </row>
    <row r="111" spans="1:7" ht="18" x14ac:dyDescent="0.2">
      <c r="A111" s="1" t="s">
        <v>160</v>
      </c>
      <c r="B111" s="2" t="s">
        <v>6</v>
      </c>
      <c r="C111" s="2" t="s">
        <v>13</v>
      </c>
      <c r="D111" s="2">
        <v>1225</v>
      </c>
      <c r="E111" s="2" t="s">
        <v>159</v>
      </c>
      <c r="F111" s="4">
        <v>40519</v>
      </c>
      <c r="G111" s="2">
        <f t="shared" si="1"/>
        <v>2010</v>
      </c>
    </row>
    <row r="112" spans="1:7" ht="18" x14ac:dyDescent="0.2">
      <c r="A112" s="1" t="s">
        <v>161</v>
      </c>
      <c r="B112" s="2" t="s">
        <v>6</v>
      </c>
      <c r="C112" s="2" t="s">
        <v>13</v>
      </c>
      <c r="D112" s="2">
        <v>1224</v>
      </c>
      <c r="E112" s="2" t="s">
        <v>159</v>
      </c>
      <c r="F112" s="4">
        <v>40511</v>
      </c>
      <c r="G112" s="2">
        <f t="shared" si="1"/>
        <v>2010</v>
      </c>
    </row>
    <row r="113" spans="1:7" ht="18" x14ac:dyDescent="0.2">
      <c r="A113" s="1" t="s">
        <v>162</v>
      </c>
      <c r="B113" s="2" t="s">
        <v>6</v>
      </c>
      <c r="C113" s="2" t="s">
        <v>13</v>
      </c>
      <c r="D113" s="2">
        <v>1216</v>
      </c>
      <c r="E113" s="2" t="s">
        <v>149</v>
      </c>
      <c r="F113" s="4">
        <v>40463</v>
      </c>
      <c r="G113" s="2">
        <f t="shared" si="1"/>
        <v>2010</v>
      </c>
    </row>
    <row r="114" spans="1:7" ht="18" x14ac:dyDescent="0.2">
      <c r="A114" s="1" t="s">
        <v>163</v>
      </c>
      <c r="B114" s="2" t="s">
        <v>6</v>
      </c>
      <c r="C114" s="2" t="s">
        <v>13</v>
      </c>
      <c r="D114" s="2">
        <v>1197</v>
      </c>
      <c r="E114" s="2" t="s">
        <v>149</v>
      </c>
      <c r="F114" s="4">
        <v>40402</v>
      </c>
      <c r="G114" s="2">
        <f t="shared" si="1"/>
        <v>2010</v>
      </c>
    </row>
    <row r="115" spans="1:7" ht="18" x14ac:dyDescent="0.2">
      <c r="A115" s="1" t="s">
        <v>164</v>
      </c>
      <c r="B115" s="2" t="s">
        <v>6</v>
      </c>
      <c r="C115" s="2" t="s">
        <v>13</v>
      </c>
      <c r="D115" s="2">
        <v>1181</v>
      </c>
      <c r="E115" s="2" t="s">
        <v>149</v>
      </c>
      <c r="F115" s="4">
        <v>40255</v>
      </c>
      <c r="G115" s="2">
        <f t="shared" si="1"/>
        <v>2010</v>
      </c>
    </row>
    <row r="116" spans="1:7" ht="18" x14ac:dyDescent="0.2">
      <c r="A116" s="1" t="s">
        <v>165</v>
      </c>
      <c r="B116" s="2" t="s">
        <v>6</v>
      </c>
      <c r="C116" s="2" t="s">
        <v>13</v>
      </c>
      <c r="D116" s="2">
        <v>1169</v>
      </c>
      <c r="E116" s="2" t="s">
        <v>159</v>
      </c>
      <c r="F116" s="4">
        <v>40093</v>
      </c>
      <c r="G116" s="2">
        <f t="shared" si="1"/>
        <v>2009</v>
      </c>
    </row>
    <row r="117" spans="1:7" ht="18" x14ac:dyDescent="0.2">
      <c r="A117" s="1" t="s">
        <v>166</v>
      </c>
      <c r="B117" s="2" t="s">
        <v>6</v>
      </c>
      <c r="C117" s="2" t="s">
        <v>13</v>
      </c>
      <c r="D117" s="2">
        <v>1163</v>
      </c>
      <c r="E117" s="2" t="s">
        <v>159</v>
      </c>
      <c r="F117" s="4">
        <v>40074</v>
      </c>
      <c r="G117" s="2">
        <f t="shared" si="1"/>
        <v>2009</v>
      </c>
    </row>
    <row r="118" spans="1:7" ht="18" x14ac:dyDescent="0.2">
      <c r="A118" s="1" t="s">
        <v>167</v>
      </c>
      <c r="B118" s="2" t="s">
        <v>6</v>
      </c>
      <c r="C118" s="2" t="s">
        <v>7</v>
      </c>
      <c r="D118" s="2">
        <v>229</v>
      </c>
      <c r="E118" s="2" t="s">
        <v>35</v>
      </c>
      <c r="F118" s="4">
        <v>40031</v>
      </c>
      <c r="G118" s="2">
        <f t="shared" si="1"/>
        <v>2009</v>
      </c>
    </row>
    <row r="119" spans="1:7" ht="18" x14ac:dyDescent="0.2">
      <c r="A119" s="1" t="s">
        <v>168</v>
      </c>
      <c r="B119" s="2" t="s">
        <v>6</v>
      </c>
      <c r="C119" s="2" t="s">
        <v>13</v>
      </c>
      <c r="D119" s="2">
        <v>1107</v>
      </c>
      <c r="E119" s="2" t="s">
        <v>149</v>
      </c>
      <c r="F119" s="4">
        <v>39955</v>
      </c>
      <c r="G119" s="2">
        <f t="shared" si="1"/>
        <v>2009</v>
      </c>
    </row>
    <row r="120" spans="1:7" ht="18" x14ac:dyDescent="0.2">
      <c r="A120" s="1" t="s">
        <v>169</v>
      </c>
      <c r="B120" s="2" t="s">
        <v>6</v>
      </c>
      <c r="C120" s="2" t="s">
        <v>13</v>
      </c>
      <c r="D120" s="2">
        <v>1117</v>
      </c>
      <c r="E120" s="2" t="s">
        <v>159</v>
      </c>
      <c r="F120" s="4">
        <v>39953</v>
      </c>
      <c r="G120" s="2">
        <f t="shared" si="1"/>
        <v>2009</v>
      </c>
    </row>
    <row r="121" spans="1:7" ht="18" x14ac:dyDescent="0.2">
      <c r="A121" s="1" t="s">
        <v>170</v>
      </c>
      <c r="B121" s="2" t="s">
        <v>6</v>
      </c>
      <c r="C121" s="2" t="s">
        <v>13</v>
      </c>
      <c r="D121" s="2">
        <v>1106</v>
      </c>
      <c r="E121" s="2" t="s">
        <v>159</v>
      </c>
      <c r="F121" s="4">
        <v>39912</v>
      </c>
      <c r="G121" s="2">
        <f t="shared" si="1"/>
        <v>2009</v>
      </c>
    </row>
    <row r="122" spans="1:7" ht="18" x14ac:dyDescent="0.2">
      <c r="A122" s="1" t="s">
        <v>171</v>
      </c>
      <c r="B122" s="2" t="s">
        <v>6</v>
      </c>
      <c r="C122" s="2" t="s">
        <v>13</v>
      </c>
      <c r="D122" s="2">
        <v>1092</v>
      </c>
      <c r="E122" s="2" t="s">
        <v>149</v>
      </c>
      <c r="F122" s="4">
        <v>39911</v>
      </c>
      <c r="G122" s="2">
        <f t="shared" si="1"/>
        <v>2009</v>
      </c>
    </row>
    <row r="123" spans="1:7" ht="18" x14ac:dyDescent="0.2">
      <c r="A123" s="1" t="s">
        <v>172</v>
      </c>
      <c r="B123" s="2" t="s">
        <v>6</v>
      </c>
      <c r="C123" s="2" t="s">
        <v>13</v>
      </c>
      <c r="D123" s="2">
        <v>1094</v>
      </c>
      <c r="E123" s="2" t="s">
        <v>159</v>
      </c>
      <c r="F123" s="4">
        <v>39904</v>
      </c>
      <c r="G123" s="2">
        <f t="shared" si="1"/>
        <v>2009</v>
      </c>
    </row>
    <row r="124" spans="1:7" ht="18" x14ac:dyDescent="0.2">
      <c r="A124" s="1" t="s">
        <v>173</v>
      </c>
      <c r="B124" s="2" t="s">
        <v>6</v>
      </c>
      <c r="C124" s="2" t="s">
        <v>13</v>
      </c>
      <c r="D124" s="2">
        <v>1073</v>
      </c>
      <c r="E124" s="2" t="s">
        <v>149</v>
      </c>
      <c r="F124" s="4">
        <v>39805</v>
      </c>
      <c r="G124" s="2">
        <f t="shared" si="1"/>
        <v>2008</v>
      </c>
    </row>
    <row r="125" spans="1:7" ht="18" x14ac:dyDescent="0.2">
      <c r="A125" s="1" t="s">
        <v>174</v>
      </c>
      <c r="B125" s="2" t="s">
        <v>6</v>
      </c>
      <c r="C125" s="2" t="s">
        <v>13</v>
      </c>
      <c r="D125" s="2">
        <v>1017</v>
      </c>
      <c r="E125" s="2" t="s">
        <v>149</v>
      </c>
      <c r="F125" s="4">
        <v>39791</v>
      </c>
      <c r="G125" s="2">
        <f t="shared" si="1"/>
        <v>2008</v>
      </c>
    </row>
    <row r="126" spans="1:7" ht="18" x14ac:dyDescent="0.2">
      <c r="A126" s="1" t="s">
        <v>175</v>
      </c>
      <c r="B126" s="2" t="s">
        <v>6</v>
      </c>
      <c r="C126" s="2" t="s">
        <v>13</v>
      </c>
      <c r="D126" s="2">
        <v>1011</v>
      </c>
      <c r="E126" s="2" t="s">
        <v>149</v>
      </c>
      <c r="F126" s="4">
        <v>39658</v>
      </c>
      <c r="G126" s="2">
        <f t="shared" si="1"/>
        <v>2008</v>
      </c>
    </row>
    <row r="127" spans="1:7" ht="18" x14ac:dyDescent="0.2">
      <c r="A127" s="1" t="s">
        <v>176</v>
      </c>
      <c r="B127" s="2" t="s">
        <v>6</v>
      </c>
      <c r="C127" s="2" t="s">
        <v>19</v>
      </c>
      <c r="D127" s="2">
        <v>789</v>
      </c>
      <c r="E127" s="2" t="s">
        <v>177</v>
      </c>
      <c r="F127" s="4">
        <v>39366</v>
      </c>
      <c r="G127" s="2">
        <f t="shared" si="1"/>
        <v>2007</v>
      </c>
    </row>
    <row r="128" spans="1:7" ht="18" x14ac:dyDescent="0.2">
      <c r="A128" s="1" t="s">
        <v>178</v>
      </c>
      <c r="B128" s="2" t="s">
        <v>6</v>
      </c>
      <c r="C128" s="2" t="s">
        <v>19</v>
      </c>
      <c r="D128" s="2">
        <v>768</v>
      </c>
      <c r="E128" s="2" t="s">
        <v>149</v>
      </c>
      <c r="F128" s="4">
        <v>39307</v>
      </c>
      <c r="G128" s="2">
        <f t="shared" si="1"/>
        <v>2007</v>
      </c>
    </row>
    <row r="129" spans="1:7" ht="18" x14ac:dyDescent="0.2">
      <c r="A129" s="1" t="s">
        <v>179</v>
      </c>
      <c r="B129" s="2" t="s">
        <v>6</v>
      </c>
      <c r="C129" s="2" t="s">
        <v>7</v>
      </c>
      <c r="D129" s="2">
        <v>374</v>
      </c>
      <c r="E129" s="2" t="s">
        <v>149</v>
      </c>
      <c r="F129" s="4">
        <v>37860</v>
      </c>
      <c r="G129" s="2">
        <f t="shared" si="1"/>
        <v>2003</v>
      </c>
    </row>
    <row r="130" spans="1:7" ht="18" x14ac:dyDescent="0.2">
      <c r="A130" s="1" t="s">
        <v>180</v>
      </c>
      <c r="B130" s="2" t="s">
        <v>6</v>
      </c>
      <c r="C130" s="2" t="s">
        <v>7</v>
      </c>
      <c r="D130" s="2">
        <v>311</v>
      </c>
      <c r="E130" s="2" t="s">
        <v>149</v>
      </c>
      <c r="F130" s="4">
        <v>36864</v>
      </c>
      <c r="G130" s="2">
        <f t="shared" si="1"/>
        <v>2000</v>
      </c>
    </row>
    <row r="131" spans="1:7" ht="18" x14ac:dyDescent="0.2">
      <c r="A131" s="1" t="s">
        <v>181</v>
      </c>
      <c r="B131" s="2" t="s">
        <v>6</v>
      </c>
      <c r="C131" s="2" t="s">
        <v>7</v>
      </c>
      <c r="D131" s="2">
        <v>283</v>
      </c>
      <c r="E131" s="2" t="s">
        <v>149</v>
      </c>
      <c r="F131" s="4">
        <v>36454</v>
      </c>
      <c r="G131" s="2">
        <f t="shared" ref="G131" si="2">YEAR(F131)</f>
        <v>1999</v>
      </c>
    </row>
    <row r="135" spans="1:7" x14ac:dyDescent="0.2">
      <c r="A135" s="5" t="s">
        <v>184</v>
      </c>
      <c r="B135" t="s">
        <v>187</v>
      </c>
    </row>
    <row r="136" spans="1:7" x14ac:dyDescent="0.2">
      <c r="A136" s="6">
        <v>1999</v>
      </c>
      <c r="B136">
        <v>1</v>
      </c>
    </row>
    <row r="137" spans="1:7" x14ac:dyDescent="0.2">
      <c r="A137" s="6">
        <v>2000</v>
      </c>
      <c r="B137">
        <v>1</v>
      </c>
    </row>
    <row r="138" spans="1:7" x14ac:dyDescent="0.2">
      <c r="A138" s="6">
        <v>2003</v>
      </c>
      <c r="B138">
        <v>1</v>
      </c>
    </row>
    <row r="139" spans="1:7" x14ac:dyDescent="0.2">
      <c r="A139" s="6">
        <v>2007</v>
      </c>
      <c r="B139">
        <v>2</v>
      </c>
    </row>
    <row r="140" spans="1:7" x14ac:dyDescent="0.2">
      <c r="A140" s="6">
        <v>2008</v>
      </c>
      <c r="B140">
        <v>3</v>
      </c>
    </row>
    <row r="141" spans="1:7" x14ac:dyDescent="0.2">
      <c r="A141" s="6">
        <v>2009</v>
      </c>
      <c r="B141">
        <v>8</v>
      </c>
    </row>
    <row r="142" spans="1:7" x14ac:dyDescent="0.2">
      <c r="A142" s="6">
        <v>2010</v>
      </c>
      <c r="B142">
        <v>5</v>
      </c>
    </row>
    <row r="143" spans="1:7" x14ac:dyDescent="0.2">
      <c r="A143" s="6">
        <v>2011</v>
      </c>
      <c r="B143">
        <v>2</v>
      </c>
    </row>
    <row r="144" spans="1:7" x14ac:dyDescent="0.2">
      <c r="A144" s="6">
        <v>2012</v>
      </c>
      <c r="B144">
        <v>3</v>
      </c>
    </row>
    <row r="145" spans="1:2" x14ac:dyDescent="0.2">
      <c r="A145" s="6">
        <v>2013</v>
      </c>
      <c r="B145">
        <v>3</v>
      </c>
    </row>
    <row r="146" spans="1:2" x14ac:dyDescent="0.2">
      <c r="A146" s="6">
        <v>2014</v>
      </c>
      <c r="B146">
        <v>5</v>
      </c>
    </row>
    <row r="147" spans="1:2" x14ac:dyDescent="0.2">
      <c r="A147" s="6">
        <v>2015</v>
      </c>
      <c r="B147">
        <v>4</v>
      </c>
    </row>
    <row r="148" spans="1:2" x14ac:dyDescent="0.2">
      <c r="A148" s="6">
        <v>2016</v>
      </c>
      <c r="B148">
        <v>4</v>
      </c>
    </row>
    <row r="149" spans="1:2" x14ac:dyDescent="0.2">
      <c r="A149" s="6">
        <v>2017</v>
      </c>
      <c r="B149">
        <v>5</v>
      </c>
    </row>
    <row r="150" spans="1:2" x14ac:dyDescent="0.2">
      <c r="A150" s="6">
        <v>2018</v>
      </c>
      <c r="B150">
        <v>9</v>
      </c>
    </row>
    <row r="151" spans="1:2" x14ac:dyDescent="0.2">
      <c r="A151" s="6">
        <v>2019</v>
      </c>
      <c r="B151">
        <v>4</v>
      </c>
    </row>
    <row r="152" spans="1:2" x14ac:dyDescent="0.2">
      <c r="A152" s="6">
        <v>2020</v>
      </c>
      <c r="B152">
        <v>7</v>
      </c>
    </row>
    <row r="153" spans="1:2" x14ac:dyDescent="0.2">
      <c r="A153" s="6">
        <v>2021</v>
      </c>
      <c r="B153">
        <v>11</v>
      </c>
    </row>
    <row r="154" spans="1:2" x14ac:dyDescent="0.2">
      <c r="A154" s="6">
        <v>2022</v>
      </c>
      <c r="B154">
        <v>5</v>
      </c>
    </row>
    <row r="155" spans="1:2" x14ac:dyDescent="0.2">
      <c r="A155" s="6">
        <v>2023</v>
      </c>
      <c r="B155">
        <v>9</v>
      </c>
    </row>
    <row r="156" spans="1:2" x14ac:dyDescent="0.2">
      <c r="A156" s="6">
        <v>2024</v>
      </c>
      <c r="B156">
        <v>15</v>
      </c>
    </row>
    <row r="157" spans="1:2" x14ac:dyDescent="0.2">
      <c r="A157" s="6">
        <v>2025</v>
      </c>
      <c r="B157">
        <v>17</v>
      </c>
    </row>
    <row r="158" spans="1:2" x14ac:dyDescent="0.2">
      <c r="A158" s="6">
        <v>2026</v>
      </c>
      <c r="B158">
        <v>6</v>
      </c>
    </row>
    <row r="159" spans="1:2" x14ac:dyDescent="0.2">
      <c r="A159" s="6" t="s">
        <v>185</v>
      </c>
    </row>
    <row r="160" spans="1:2" x14ac:dyDescent="0.2">
      <c r="A160" s="6" t="s">
        <v>186</v>
      </c>
      <c r="B160">
        <v>130</v>
      </c>
    </row>
    <row r="172" spans="1:2" x14ac:dyDescent="0.2">
      <c r="A172" s="5" t="s">
        <v>184</v>
      </c>
      <c r="B172" t="s">
        <v>188</v>
      </c>
    </row>
    <row r="173" spans="1:2" x14ac:dyDescent="0.2">
      <c r="A173" s="6" t="s">
        <v>149</v>
      </c>
      <c r="B173" s="9">
        <v>16</v>
      </c>
    </row>
    <row r="174" spans="1:2" x14ac:dyDescent="0.2">
      <c r="A174" s="6" t="s">
        <v>35</v>
      </c>
      <c r="B174" s="9">
        <v>14</v>
      </c>
    </row>
    <row r="175" spans="1:2" x14ac:dyDescent="0.2">
      <c r="A175" s="6" t="s">
        <v>33</v>
      </c>
      <c r="B175" s="9">
        <v>8</v>
      </c>
    </row>
    <row r="176" spans="1:2" x14ac:dyDescent="0.2">
      <c r="A176" s="6" t="s">
        <v>17</v>
      </c>
      <c r="B176" s="9">
        <v>8</v>
      </c>
    </row>
    <row r="177" spans="1:2" x14ac:dyDescent="0.2">
      <c r="A177" s="6" t="s">
        <v>159</v>
      </c>
      <c r="B177" s="9">
        <v>8</v>
      </c>
    </row>
    <row r="178" spans="1:2" x14ac:dyDescent="0.2">
      <c r="A178" s="6" t="s">
        <v>54</v>
      </c>
      <c r="B178" s="9">
        <v>7</v>
      </c>
    </row>
    <row r="179" spans="1:2" x14ac:dyDescent="0.2">
      <c r="A179" s="6" t="s">
        <v>107</v>
      </c>
      <c r="B179" s="9">
        <v>7</v>
      </c>
    </row>
    <row r="180" spans="1:2" x14ac:dyDescent="0.2">
      <c r="A180" s="6" t="s">
        <v>91</v>
      </c>
      <c r="B180" s="9">
        <v>6</v>
      </c>
    </row>
    <row r="181" spans="1:2" x14ac:dyDescent="0.2">
      <c r="A181" s="6" t="s">
        <v>20</v>
      </c>
      <c r="B181" s="9">
        <v>5</v>
      </c>
    </row>
    <row r="182" spans="1:2" x14ac:dyDescent="0.2">
      <c r="A182" s="6" t="s">
        <v>24</v>
      </c>
      <c r="B182" s="9">
        <v>4</v>
      </c>
    </row>
    <row r="183" spans="1:2" x14ac:dyDescent="0.2">
      <c r="A183" s="6" t="s">
        <v>73</v>
      </c>
      <c r="B183" s="9">
        <v>4</v>
      </c>
    </row>
    <row r="184" spans="1:2" x14ac:dyDescent="0.2">
      <c r="A184" s="6" t="s">
        <v>95</v>
      </c>
      <c r="B184" s="9">
        <v>3</v>
      </c>
    </row>
    <row r="185" spans="1:2" x14ac:dyDescent="0.2">
      <c r="A185" s="6" t="s">
        <v>11</v>
      </c>
      <c r="B185" s="9">
        <v>3</v>
      </c>
    </row>
    <row r="186" spans="1:2" x14ac:dyDescent="0.2">
      <c r="A186" s="6" t="s">
        <v>31</v>
      </c>
      <c r="B186" s="9">
        <v>2</v>
      </c>
    </row>
    <row r="187" spans="1:2" x14ac:dyDescent="0.2">
      <c r="A187" s="6" t="s">
        <v>81</v>
      </c>
      <c r="B187" s="9">
        <v>2</v>
      </c>
    </row>
    <row r="188" spans="1:2" x14ac:dyDescent="0.2">
      <c r="A188" s="6" t="s">
        <v>124</v>
      </c>
      <c r="B188" s="9">
        <v>2</v>
      </c>
    </row>
    <row r="189" spans="1:2" x14ac:dyDescent="0.2">
      <c r="A189" s="6" t="s">
        <v>22</v>
      </c>
      <c r="B189" s="9">
        <v>2</v>
      </c>
    </row>
    <row r="190" spans="1:2" x14ac:dyDescent="0.2">
      <c r="A190" s="6" t="s">
        <v>46</v>
      </c>
      <c r="B190" s="9">
        <v>2</v>
      </c>
    </row>
    <row r="191" spans="1:2" x14ac:dyDescent="0.2">
      <c r="A191" s="6" t="s">
        <v>29</v>
      </c>
      <c r="B191" s="9">
        <v>2</v>
      </c>
    </row>
    <row r="192" spans="1:2" x14ac:dyDescent="0.2">
      <c r="A192" s="6" t="s">
        <v>122</v>
      </c>
      <c r="B192" s="9">
        <v>2</v>
      </c>
    </row>
    <row r="193" spans="1:2" x14ac:dyDescent="0.2">
      <c r="A193" s="6" t="s">
        <v>8</v>
      </c>
      <c r="B193" s="9">
        <v>2</v>
      </c>
    </row>
    <row r="194" spans="1:2" x14ac:dyDescent="0.2">
      <c r="A194" s="6" t="s">
        <v>137</v>
      </c>
      <c r="B194" s="9">
        <v>1</v>
      </c>
    </row>
    <row r="195" spans="1:2" x14ac:dyDescent="0.2">
      <c r="A195" s="6" t="s">
        <v>143</v>
      </c>
      <c r="B195" s="9">
        <v>1</v>
      </c>
    </row>
    <row r="196" spans="1:2" x14ac:dyDescent="0.2">
      <c r="A196" s="6" t="s">
        <v>156</v>
      </c>
      <c r="B196" s="9">
        <v>1</v>
      </c>
    </row>
    <row r="197" spans="1:2" x14ac:dyDescent="0.2">
      <c r="A197" s="6" t="s">
        <v>79</v>
      </c>
      <c r="B197" s="9">
        <v>1</v>
      </c>
    </row>
    <row r="198" spans="1:2" x14ac:dyDescent="0.2">
      <c r="A198" s="6" t="s">
        <v>27</v>
      </c>
      <c r="B198" s="9">
        <v>1</v>
      </c>
    </row>
    <row r="199" spans="1:2" x14ac:dyDescent="0.2">
      <c r="A199" s="6" t="s">
        <v>58</v>
      </c>
      <c r="B199" s="9">
        <v>1</v>
      </c>
    </row>
    <row r="200" spans="1:2" x14ac:dyDescent="0.2">
      <c r="A200" s="6" t="s">
        <v>115</v>
      </c>
      <c r="B200" s="9">
        <v>1</v>
      </c>
    </row>
    <row r="201" spans="1:2" x14ac:dyDescent="0.2">
      <c r="A201" s="6" t="s">
        <v>83</v>
      </c>
      <c r="B201" s="9">
        <v>1</v>
      </c>
    </row>
    <row r="202" spans="1:2" x14ac:dyDescent="0.2">
      <c r="A202" s="6" t="s">
        <v>44</v>
      </c>
      <c r="B202" s="9">
        <v>1</v>
      </c>
    </row>
    <row r="203" spans="1:2" x14ac:dyDescent="0.2">
      <c r="A203" s="6" t="s">
        <v>177</v>
      </c>
      <c r="B203" s="9">
        <v>1</v>
      </c>
    </row>
    <row r="204" spans="1:2" x14ac:dyDescent="0.2">
      <c r="A204" s="6" t="s">
        <v>63</v>
      </c>
      <c r="B204" s="9">
        <v>1</v>
      </c>
    </row>
    <row r="205" spans="1:2" x14ac:dyDescent="0.2">
      <c r="A205" s="6" t="s">
        <v>39</v>
      </c>
      <c r="B205" s="9">
        <v>1</v>
      </c>
    </row>
    <row r="206" spans="1:2" x14ac:dyDescent="0.2">
      <c r="A206" s="6" t="s">
        <v>48</v>
      </c>
      <c r="B206" s="9">
        <v>1</v>
      </c>
    </row>
    <row r="207" spans="1:2" x14ac:dyDescent="0.2">
      <c r="A207" s="6" t="s">
        <v>109</v>
      </c>
      <c r="B207" s="9">
        <v>1</v>
      </c>
    </row>
    <row r="208" spans="1:2" x14ac:dyDescent="0.2">
      <c r="A208" s="6" t="s">
        <v>37</v>
      </c>
      <c r="B208" s="9">
        <v>1</v>
      </c>
    </row>
    <row r="209" spans="1:2" x14ac:dyDescent="0.2">
      <c r="A209" s="6" t="s">
        <v>51</v>
      </c>
      <c r="B209" s="9">
        <v>1</v>
      </c>
    </row>
    <row r="210" spans="1:2" x14ac:dyDescent="0.2">
      <c r="A210" s="6" t="s">
        <v>42</v>
      </c>
      <c r="B210" s="9">
        <v>1</v>
      </c>
    </row>
    <row r="211" spans="1:2" x14ac:dyDescent="0.2">
      <c r="A211" s="6" t="s">
        <v>61</v>
      </c>
      <c r="B211" s="9">
        <v>1</v>
      </c>
    </row>
    <row r="212" spans="1:2" x14ac:dyDescent="0.2">
      <c r="A212" s="6" t="s">
        <v>134</v>
      </c>
      <c r="B212" s="9">
        <v>1</v>
      </c>
    </row>
    <row r="213" spans="1:2" x14ac:dyDescent="0.2">
      <c r="A213" s="6" t="s">
        <v>14</v>
      </c>
      <c r="B213" s="9">
        <v>1</v>
      </c>
    </row>
    <row r="214" spans="1:2" x14ac:dyDescent="0.2">
      <c r="A214" s="6" t="s">
        <v>117</v>
      </c>
      <c r="B214" s="9">
        <v>1</v>
      </c>
    </row>
    <row r="215" spans="1:2" x14ac:dyDescent="0.2">
      <c r="A215" s="6" t="s">
        <v>186</v>
      </c>
      <c r="B215" s="9">
        <v>130</v>
      </c>
    </row>
  </sheetData>
  <hyperlinks>
    <hyperlink ref="A2" r:id="rId3" tooltip="C-GLAI" display="https://wwwapps.tc.gc.ca/Saf-Sec-Sur/2/CCARCS-RIACC/ADet.aspx?id=19724&amp;hs=N&amp;l=" xr:uid="{4C08B51B-5B74-974E-865F-83852684192C}"/>
    <hyperlink ref="A3" r:id="rId4" tooltip="C-FPCI" display="https://wwwapps.tc.gc.ca/Saf-Sec-Sur/2/CCARCS-RIACC/ADet.aspx?id=12829&amp;hs=N&amp;l=" xr:uid="{824402BA-45E2-F643-8C1A-29BBA0D946C1}"/>
    <hyperlink ref="A4" r:id="rId5" tooltip="C-GFSB" display="https://wwwapps.tc.gc.ca/Saf-Sec-Sur/2/CCARCS-RIACC/ADet.aspx?id=535557&amp;hs=N&amp;l=" xr:uid="{FD7EC7F3-03D1-EA44-B4C1-B83CDA4EC885}"/>
    <hyperlink ref="A5" r:id="rId6" tooltip="C-GOHI" display="https://wwwapps.tc.gc.ca/Saf-Sec-Sur/2/CCARCS-RIACC/ADet.aspx?id=521645&amp;hs=N&amp;l=" xr:uid="{B3228448-271E-B043-B23E-7A4314F9CFC9}"/>
    <hyperlink ref="A6" r:id="rId7" tooltip="C-GDUX" display="https://wwwapps.tc.gc.ca/Saf-Sec-Sur/2/CCARCS-RIACC/ADet.aspx?id=540727&amp;hs=N&amp;l=" xr:uid="{564B42A0-F4D3-F549-B2D1-E21133018D09}"/>
    <hyperlink ref="A7" r:id="rId8" tooltip="C-GOFS" display="https://wwwapps.tc.gc.ca/Saf-Sec-Sur/2/CCARCS-RIACC/ADet.aspx?id=536764&amp;hs=N&amp;l=" xr:uid="{3E60584F-7F11-C044-B99C-5DCE1BFD9D8D}"/>
    <hyperlink ref="A8" r:id="rId9" tooltip="C-FYBG" display="https://wwwapps.tc.gc.ca/Saf-Sec-Sur/2/CCARCS-RIACC/ADet.aspx?id=537098&amp;hs=N&amp;l=" xr:uid="{BEB00349-53AB-324C-8636-1021640C1DBE}"/>
    <hyperlink ref="A9" r:id="rId10" tooltip="C-GJFC" display="https://wwwapps.tc.gc.ca/Saf-Sec-Sur/2/CCARCS-RIACC/ADet.aspx?id=531540&amp;hs=N&amp;l=" xr:uid="{CC536490-D6AD-D145-96C2-3335CDB60E4C}"/>
    <hyperlink ref="A10" r:id="rId11" tooltip="C-FRBI" display="https://wwwapps.tc.gc.ca/Saf-Sec-Sur/2/CCARCS-RIACC/ADet.aspx?id=540238&amp;hs=N&amp;l=" xr:uid="{910F6B7B-DEAD-E848-9A2E-C4FEB263ADBF}"/>
    <hyperlink ref="A11" r:id="rId12" tooltip="C-GBII" display="https://wwwapps.tc.gc.ca/Saf-Sec-Sur/2/CCARCS-RIACC/ADet.aspx?id=540102&amp;hs=N&amp;l=" xr:uid="{D59BAB16-F432-A84A-8310-F2AB862226C2}"/>
    <hyperlink ref="A12" r:id="rId13" tooltip="C-GDBJ" display="https://wwwapps.tc.gc.ca/Saf-Sec-Sur/2/CCARCS-RIACC/ADet.aspx?id=527094&amp;hs=N&amp;l=" xr:uid="{63823F57-08E3-3648-9301-8E64E25EDC1A}"/>
    <hyperlink ref="A13" r:id="rId14" tooltip="C-FHZS" display="https://wwwapps.tc.gc.ca/Saf-Sec-Sur/2/CCARCS-RIACC/ADet.aspx?id=540153&amp;hs=N&amp;l=" xr:uid="{3CA6D009-AD46-8D4D-ABF3-6CBFFE6D9E7A}"/>
    <hyperlink ref="A14" r:id="rId15" tooltip="C-FWKQ" display="https://wwwapps.tc.gc.ca/Saf-Sec-Sur/2/CCARCS-RIACC/ADet.aspx?id=539912&amp;hs=N&amp;l=" xr:uid="{59015FBA-19D1-824A-9012-3DC51DD99F2B}"/>
    <hyperlink ref="A15" r:id="rId16" tooltip="C-GDSH" display="https://wwwapps.tc.gc.ca/Saf-Sec-Sur/2/CCARCS-RIACC/ADet.aspx?id=539760&amp;hs=N&amp;l=" xr:uid="{947C9922-A4F0-EC4B-8F12-5963871D89BB}"/>
    <hyperlink ref="A16" r:id="rId17" tooltip="C-GMRX" display="https://wwwapps.tc.gc.ca/Saf-Sec-Sur/2/CCARCS-RIACC/ADet.aspx?id=539755&amp;hs=N&amp;l=" xr:uid="{27D1651B-B2DA-A84A-823E-F8958EC34853}"/>
    <hyperlink ref="A17" r:id="rId18" tooltip="C-GECT" display="https://wwwapps.tc.gc.ca/Saf-Sec-Sur/2/CCARCS-RIACC/ADet.aspx?id=515421&amp;hs=N&amp;l=" xr:uid="{551BDDA7-7DE0-0248-9694-13A13C4C9DE2}"/>
    <hyperlink ref="A18" r:id="rId19" tooltip="C-FMYW" display="https://wwwapps.tc.gc.ca/Saf-Sec-Sur/2/CCARCS-RIACC/ADet.aspx?id=539589&amp;hs=N&amp;l=" xr:uid="{34E040D8-A119-6B42-8B21-B2612C57C277}"/>
    <hyperlink ref="A19" r:id="rId20" tooltip="C-GNGI" display="https://wwwapps.tc.gc.ca/Saf-Sec-Sur/2/CCARCS-RIACC/ADet.aspx?id=532938&amp;hs=N&amp;l=" xr:uid="{E562CDEA-6740-774B-A933-E7026DCD8874}"/>
    <hyperlink ref="A20" r:id="rId21" tooltip="C-FLWX" display="https://wwwapps.tc.gc.ca/Saf-Sec-Sur/2/CCARCS-RIACC/ADet.aspx?id=539649&amp;hs=N&amp;l=" xr:uid="{82F0EE46-9B90-134C-91F4-233A684BE15A}"/>
    <hyperlink ref="A21" r:id="rId22" tooltip="C-FJET" display="https://wwwapps.tc.gc.ca/Saf-Sec-Sur/2/CCARCS-RIACC/ADet.aspx?id=539594&amp;hs=N&amp;l=" xr:uid="{2F5FB6B6-07C6-CD44-BF80-574012B0275D}"/>
    <hyperlink ref="A22" r:id="rId23" tooltip="C-FBDT" display="https://wwwapps.tc.gc.ca/Saf-Sec-Sur/2/CCARCS-RIACC/ADet.aspx?id=539131&amp;hs=N&amp;l=" xr:uid="{B73D2F18-E966-5E46-9F99-699384BA4E76}"/>
    <hyperlink ref="A23" r:id="rId24" tooltip="C-GPRY" display="https://wwwapps.tc.gc.ca/Saf-Sec-Sur/2/CCARCS-RIACC/ADet.aspx?id=539457&amp;hs=N&amp;l=" xr:uid="{95827BB0-6ECE-174C-A365-3929AA947BBD}"/>
    <hyperlink ref="A24" r:id="rId25" tooltip="C-FMHJ" display="https://wwwapps.tc.gc.ca/Saf-Sec-Sur/2/CCARCS-RIACC/ADet.aspx?id=539412&amp;hs=N&amp;l=" xr:uid="{DA37879C-DFFB-9240-95B8-E3F27E736FB9}"/>
    <hyperlink ref="A25" r:id="rId26" tooltip="C-GJMM" display="https://wwwapps.tc.gc.ca/Saf-Sec-Sur/2/CCARCS-RIACC/ADet.aspx?id=538568&amp;hs=N&amp;l=" xr:uid="{EE7EAC81-5174-6A48-83D0-A6CC06528AEA}"/>
    <hyperlink ref="A26" r:id="rId27" tooltip="C-GDTL" display="https://wwwapps.tc.gc.ca/Saf-Sec-Sur/2/CCARCS-RIACC/ADet.aspx?id=531145&amp;hs=N&amp;l=" xr:uid="{5BF3825E-3BE3-D040-BB13-57D9FBF199B2}"/>
    <hyperlink ref="A27" r:id="rId28" tooltip="C-GFLA" display="https://wwwapps.tc.gc.ca/Saf-Sec-Sur/2/CCARCS-RIACC/ADet.aspx?id=27737&amp;hs=N&amp;l=" xr:uid="{594566E1-E61F-7F45-8D3B-4EB5E31AFA60}"/>
    <hyperlink ref="A28" r:id="rId29" tooltip="C-FEBO" display="https://wwwapps.tc.gc.ca/Saf-Sec-Sur/2/CCARCS-RIACC/ADet.aspx?id=501312&amp;hs=N&amp;l=" xr:uid="{5ED9BF51-F58E-9649-9DF0-45A3CA0319DF}"/>
    <hyperlink ref="A29" r:id="rId30" tooltip="C-GBTA" display="https://wwwapps.tc.gc.ca/Saf-Sec-Sur/2/CCARCS-RIACC/ADet.aspx?id=538785&amp;hs=N&amp;l=" xr:uid="{A9E4571C-3E43-0746-B682-091A861B0F3F}"/>
    <hyperlink ref="A30" r:id="rId31" tooltip="C-GJVA" display="https://wwwapps.tc.gc.ca/Saf-Sec-Sur/2/CCARCS-RIACC/ADet.aspx?id=538833&amp;hs=N&amp;l=" xr:uid="{9664F39F-BC82-564E-A502-F8F6599C1B93}"/>
    <hyperlink ref="A31" r:id="rId32" tooltip="C-GAWP" display="https://wwwapps.tc.gc.ca/Saf-Sec-Sur/2/CCARCS-RIACC/ADet.aspx?id=27108&amp;hs=N&amp;l=" xr:uid="{CD05B1E2-CAF6-624E-9A58-C7DEE6C6936A}"/>
    <hyperlink ref="A32" r:id="rId33" tooltip="C-FLXR" display="https://wwwapps.tc.gc.ca/Saf-Sec-Sur/2/CCARCS-RIACC/ADet.aspx?id=538708&amp;hs=N&amp;l=" xr:uid="{C8605668-57D2-A14D-85B1-A6A567776838}"/>
    <hyperlink ref="A33" r:id="rId34" tooltip="C-GKNW" display="https://wwwapps.tc.gc.ca/Saf-Sec-Sur/2/CCARCS-RIACC/ADet.aspx?id=532528&amp;hs=N&amp;l=" xr:uid="{164F38C8-FA6B-C642-9A72-974B381EF1E1}"/>
    <hyperlink ref="A34" r:id="rId35" tooltip="C-GNWX" display="https://wwwapps.tc.gc.ca/Saf-Sec-Sur/2/CCARCS-RIACC/ADet.aspx?id=516572&amp;hs=N&amp;l=" xr:uid="{EB9D8405-0EB2-EC40-90D8-5B79DEB5CD2D}"/>
    <hyperlink ref="A35" r:id="rId36" tooltip="C-GNWZ" display="https://wwwapps.tc.gc.ca/Saf-Sec-Sur/2/CCARCS-RIACC/ADet.aspx?id=516623&amp;hs=N&amp;l=" xr:uid="{C363807B-30C3-694C-A530-02F1DB58D106}"/>
    <hyperlink ref="A36" r:id="rId37" tooltip="C-FSCO" display="https://wwwapps.tc.gc.ca/Saf-Sec-Sur/2/CCARCS-RIACC/ADet.aspx?id=538567&amp;hs=N&amp;l=" xr:uid="{268B5D33-0472-2543-945A-F17CA1ECED0E}"/>
    <hyperlink ref="A37" r:id="rId38" tooltip="C-GAPD" display="https://wwwapps.tc.gc.ca/Saf-Sec-Sur/2/CCARCS-RIACC/ADet.aspx?id=538364&amp;hs=N&amp;l=" xr:uid="{CD06C27F-1F88-194D-81F3-DD69F68A74BB}"/>
    <hyperlink ref="A38" r:id="rId39" tooltip="C-GJRG" display="https://wwwapps.tc.gc.ca/Saf-Sec-Sur/2/CCARCS-RIACC/ADet.aspx?id=519134&amp;hs=N&amp;l=" xr:uid="{2ACEACAE-DAEC-4C44-9F7A-18A321B25DEC}"/>
    <hyperlink ref="A39" r:id="rId40" tooltip="C-GBAP" display="https://wwwapps.tc.gc.ca/Saf-Sec-Sur/2/CCARCS-RIACC/ADet.aspx?id=533369&amp;hs=N&amp;l=" xr:uid="{6D59D02E-5227-4C46-93C2-31F72BDE2AB2}"/>
    <hyperlink ref="A40" r:id="rId41" tooltip="C-FWAF" display="https://wwwapps.tc.gc.ca/Saf-Sec-Sur/2/CCARCS-RIACC/ADet.aspx?id=538044&amp;hs=N&amp;l=" xr:uid="{27B8EF8F-E6D2-E541-A824-F3450BD10F46}"/>
    <hyperlink ref="A41" r:id="rId42" tooltip="C-GKAY" display="https://wwwapps.tc.gc.ca/Saf-Sec-Sur/2/CCARCS-RIACC/ADet.aspx?id=538006&amp;hs=N&amp;l=" xr:uid="{32F314F3-79AC-254E-888A-257F46DA64FC}"/>
    <hyperlink ref="A42" r:id="rId43" tooltip="C-FTRX" display="https://wwwapps.tc.gc.ca/Saf-Sec-Sur/2/CCARCS-RIACC/ADet.aspx?id=537927&amp;hs=N&amp;l=" xr:uid="{E752D9C1-F6FE-2C40-9E4C-2595B591D4CD}"/>
    <hyperlink ref="A43" r:id="rId44" tooltip="C-GKAO" display="https://wwwapps.tc.gc.ca/Saf-Sec-Sur/2/CCARCS-RIACC/ADet.aspx?id=537907&amp;hs=N&amp;l=" xr:uid="{7700296D-257F-0542-A95D-AB16E4C51AD1}"/>
    <hyperlink ref="A44" r:id="rId45" tooltip="C-GMLF" display="https://wwwapps.tc.gc.ca/Saf-Sec-Sur/2/CCARCS-RIACC/ADet.aspx?id=513268&amp;hs=N&amp;l=" xr:uid="{CFCC07C9-1777-E640-AC20-65B3F34A31ED}"/>
    <hyperlink ref="A45" r:id="rId46" tooltip="C-GKAU" display="https://wwwapps.tc.gc.ca/Saf-Sec-Sur/2/CCARCS-RIACC/ADet.aspx?id=537879&amp;hs=N&amp;l=" xr:uid="{F8AF5938-97EA-C849-BDC5-C92402A50759}"/>
    <hyperlink ref="A46" r:id="rId47" tooltip="C-FHGC" display="https://wwwapps.tc.gc.ca/Saf-Sec-Sur/2/CCARCS-RIACC/ADet.aspx?id=537802&amp;hs=N&amp;l=" xr:uid="{99A8CB97-5983-294E-B69B-5B70FE439943}"/>
    <hyperlink ref="A47" r:id="rId48" tooltip="C-FOPE" display="https://wwwapps.tc.gc.ca/Saf-Sec-Sur/2/CCARCS-RIACC/ADet.aspx?id=537240&amp;hs=N&amp;l=" xr:uid="{5D43AFA5-0E2D-7448-ABF4-1A98C494107C}"/>
    <hyperlink ref="A48" r:id="rId49" tooltip="C-FALD" display="https://wwwapps.tc.gc.ca/Saf-Sec-Sur/2/CCARCS-RIACC/ADet.aspx?id=535866&amp;hs=N&amp;l=" xr:uid="{8BAD2F06-124A-AC48-A374-E34588283522}"/>
    <hyperlink ref="A49" r:id="rId50" tooltip="C-FABN" display="https://wwwapps.tc.gc.ca/Saf-Sec-Sur/2/CCARCS-RIACC/ADet.aspx?id=536790&amp;hs=N&amp;l=" xr:uid="{C066E691-EE82-5D4F-A691-39761B596936}"/>
    <hyperlink ref="A50" r:id="rId51" tooltip="C-GJVM" display="https://wwwapps.tc.gc.ca/Saf-Sec-Sur/2/CCARCS-RIACC/ADet.aspx?id=531130&amp;hs=N&amp;l=" xr:uid="{E6FBAA64-1C3E-2D4C-B708-6F497018491F}"/>
    <hyperlink ref="A51" r:id="rId52" tooltip="C-GKIX" display="https://wwwapps.tc.gc.ca/Saf-Sec-Sur/2/CCARCS-RIACC/ADet.aspx?id=536251&amp;hs=N&amp;l=" xr:uid="{487104FA-2B7E-1348-AF40-9947FF2E952B}"/>
    <hyperlink ref="A52" r:id="rId53" tooltip="C-GMSX" display="https://wwwapps.tc.gc.ca/Saf-Sec-Sur/2/CCARCS-RIACC/ADet.aspx?id=530785&amp;hs=N&amp;l=" xr:uid="{560E5E1A-7A15-FB40-BE43-9D2A10A970D7}"/>
    <hyperlink ref="A53" r:id="rId54" tooltip="C-FANJ" display="https://wwwapps.tc.gc.ca/Saf-Sec-Sur/2/CCARCS-RIACC/ADet.aspx?id=535283&amp;hs=N&amp;l=" xr:uid="{6D1B4330-3FB5-5E4D-A17A-20F6F6DBA339}"/>
    <hyperlink ref="A54" r:id="rId55" tooltip="C-GSMJ" display="https://wwwapps.tc.gc.ca/Saf-Sec-Sur/2/CCARCS-RIACC/ADet.aspx?id=535912&amp;hs=N&amp;l=" xr:uid="{382D39A4-36E6-1948-B96C-2E1D5A63E639}"/>
    <hyperlink ref="A55" r:id="rId56" tooltip="C-FMAO" display="https://wwwapps.tc.gc.ca/Saf-Sec-Sur/2/CCARCS-RIACC/ADet.aspx?id=524185&amp;hs=N&amp;l=" xr:uid="{86FF8527-4A1F-954D-88E0-9084DFFE624F}"/>
    <hyperlink ref="A56" r:id="rId57" tooltip="C-FUAM" display="https://wwwapps.tc.gc.ca/Saf-Sec-Sur/2/CCARCS-RIACC/ADet.aspx?id=524148&amp;hs=N&amp;l=" xr:uid="{514B5792-4D80-9243-BE55-9F1033B1B4D8}"/>
    <hyperlink ref="A57" r:id="rId58" tooltip="C-FKPA" display="https://wwwapps.tc.gc.ca/Saf-Sec-Sur/2/CCARCS-RIACC/ADet.aspx?id=10964&amp;hs=N&amp;l=" xr:uid="{3998A664-61CD-EB44-B128-02474F0AF7E5}"/>
    <hyperlink ref="A58" r:id="rId59" tooltip="C-FKGO" display="https://wwwapps.tc.gc.ca/Saf-Sec-Sur/2/CCARCS-RIACC/ADet.aspx?id=534818&amp;hs=N&amp;l=" xr:uid="{18812B39-75C3-D140-8A1F-DD316BFC5939}"/>
    <hyperlink ref="A59" r:id="rId60" tooltip="C-GODE" display="https://wwwapps.tc.gc.ca/Saf-Sec-Sur/2/CCARCS-RIACC/ADet.aspx?id=509686&amp;hs=N&amp;l=" xr:uid="{8C02567F-3E53-664E-A295-FDDBA4858D59}"/>
    <hyperlink ref="A60" r:id="rId61" tooltip="C-FKAB" display="https://wwwapps.tc.gc.ca/Saf-Sec-Sur/2/CCARCS-RIACC/ADet.aspx?id=535077&amp;hs=N&amp;l=" xr:uid="{4AAD5AFB-6FCD-9C40-A537-A2C2083DBAC5}"/>
    <hyperlink ref="A61" r:id="rId62" tooltip="C-FHAB" display="https://wwwapps.tc.gc.ca/Saf-Sec-Sur/2/CCARCS-RIACC/ADet.aspx?id=535064&amp;hs=N&amp;l=" xr:uid="{1789049C-C050-7E4E-A3C5-6A0EAB4EA0A6}"/>
    <hyperlink ref="A62" r:id="rId63" tooltip="C-GYBX" display="https://wwwapps.tc.gc.ca/Saf-Sec-Sur/2/CCARCS-RIACC/ADet.aspx?id=533234&amp;hs=N&amp;l=" xr:uid="{C227D1CE-6D2A-4B4F-B1D1-90CE36F2735E}"/>
    <hyperlink ref="A63" r:id="rId64" tooltip="C-GSAG" display="https://wwwapps.tc.gc.ca/Saf-Sec-Sur/2/CCARCS-RIACC/ADet.aspx?id=508436&amp;hs=N&amp;l=" xr:uid="{E6A226B7-BF07-A74D-93DA-B9389AE60601}"/>
    <hyperlink ref="A64" r:id="rId65" tooltip="C-GMXD" display="https://wwwapps.tc.gc.ca/Saf-Sec-Sur/2/CCARCS-RIACC/ADet.aspx?id=534275&amp;hs=N&amp;l=" xr:uid="{F32264DF-12A0-6348-9E5D-1ECE160122B0}"/>
    <hyperlink ref="A65" r:id="rId66" tooltip="C-GIOX" display="https://wwwapps.tc.gc.ca/Saf-Sec-Sur/2/CCARCS-RIACC/ADet.aspx?id=533176&amp;hs=N&amp;l=" xr:uid="{47A0A454-521D-5E44-8325-2641E2B86C9D}"/>
    <hyperlink ref="A66" r:id="rId67" tooltip="C-GXCR" display="https://wwwapps.tc.gc.ca/Saf-Sec-Sur/2/CCARCS-RIACC/ADet.aspx?id=27325&amp;hs=N&amp;l=" xr:uid="{9053B9DB-D281-7B43-9A00-650AF5A43B62}"/>
    <hyperlink ref="A67" r:id="rId68" tooltip="C-FIPN" display="https://wwwapps.tc.gc.ca/Saf-Sec-Sur/2/CCARCS-RIACC/ADet.aspx?id=532926&amp;hs=N&amp;l=" xr:uid="{768E633B-59B8-174F-9DFB-FC810B86C048}"/>
    <hyperlink ref="A68" r:id="rId69" tooltip="C-FVEK" display="https://wwwapps.tc.gc.ca/Saf-Sec-Sur/2/CCARCS-RIACC/ADet.aspx?id=534313&amp;hs=N&amp;l=" xr:uid="{B6D27A41-062C-4344-9266-1F6CD3F9298A}"/>
    <hyperlink ref="A69" r:id="rId70" tooltip="C-FGFL" display="https://wwwapps.tc.gc.ca/Saf-Sec-Sur/2/CCARCS-RIACC/ADet.aspx?id=4542&amp;hs=N&amp;l=" xr:uid="{CE07A0EF-B65A-3B42-91F7-32F6F6878B73}"/>
    <hyperlink ref="A70" r:id="rId71" tooltip="C-GJAW" display="https://wwwapps.tc.gc.ca/Saf-Sec-Sur/2/CCARCS-RIACC/ADet.aspx?id=530317&amp;hs=N&amp;l=" xr:uid="{41E96C61-F156-9A4C-8709-D85EF2C2F01B}"/>
    <hyperlink ref="A71" r:id="rId72" tooltip="C-FYZS" display="https://wwwapps.tc.gc.ca/Saf-Sec-Sur/2/CCARCS-RIACC/ADet.aspx?id=24419&amp;hs=N&amp;l=" xr:uid="{3CDF6C7C-CC44-1843-9B8B-7D469A389A9B}"/>
    <hyperlink ref="A72" r:id="rId73" tooltip="C-FYUT" display="https://wwwapps.tc.gc.ca/Saf-Sec-Sur/2/CCARCS-RIACC/ADet.aspx?id=27442&amp;hs=N&amp;l=" xr:uid="{284A645A-AFBF-754A-9B81-C523BB13CC66}"/>
    <hyperlink ref="A73" r:id="rId74" tooltip="C-FYMN" display="https://wwwapps.tc.gc.ca/Saf-Sec-Sur/2/CCARCS-RIACC/ADet.aspx?id=533321&amp;hs=N&amp;l=" xr:uid="{08667E4C-438C-1A4F-BA33-A7FD84ABEBA3}"/>
    <hyperlink ref="A74" r:id="rId75" tooltip="C-GXTB" display="https://wwwapps.tc.gc.ca/Saf-Sec-Sur/2/CCARCS-RIACC/ADet.aspx?id=531959&amp;hs=N&amp;l=" xr:uid="{C1A05A34-9186-D542-AE6B-8A5E396C60C6}"/>
    <hyperlink ref="A75" r:id="rId76" tooltip="C-GTAI" display="https://wwwapps.tc.gc.ca/Saf-Sec-Sur/2/CCARCS-RIACC/ADet.aspx?id=532644&amp;hs=N&amp;l=" xr:uid="{EA9ABA99-15E2-C242-9701-DA1469371D9D}"/>
    <hyperlink ref="A76" r:id="rId77" tooltip="C-FPNG" display="https://wwwapps.tc.gc.ca/Saf-Sec-Sur/2/CCARCS-RIACC/ADet.aspx?id=517893&amp;hs=N&amp;l=" xr:uid="{0C80684F-5306-EF4F-9566-8D5BF648C3F2}"/>
    <hyperlink ref="A77" r:id="rId78" tooltip="C-FWAL" display="https://wwwapps.tc.gc.ca/Saf-Sec-Sur/2/CCARCS-RIACC/ADet.aspx?id=531356&amp;hs=N&amp;l=" xr:uid="{0132DFAE-9026-284B-80EF-0149D645E4D1}"/>
    <hyperlink ref="A78" r:id="rId79" tooltip="C-FYRH" display="https://wwwapps.tc.gc.ca/Saf-Sec-Sur/2/CCARCS-RIACC/ADet.aspx?id=531156&amp;hs=N&amp;l=" xr:uid="{D4D38A66-A6FC-484D-BBB4-857B57F8C36E}"/>
    <hyperlink ref="A79" r:id="rId80" tooltip="C-GBMF" display="https://wwwapps.tc.gc.ca/Saf-Sec-Sur/2/CCARCS-RIACC/ADet.aspx?id=521117&amp;hs=N&amp;l=" xr:uid="{DB2BE30F-CF62-E74F-8B32-A11B67681AAA}"/>
    <hyperlink ref="A80" r:id="rId81" tooltip="C-FPCL" display="https://wwwapps.tc.gc.ca/Saf-Sec-Sur/2/CCARCS-RIACC/ADet.aspx?id=10496&amp;hs=N&amp;l=" xr:uid="{F10DC49B-FCE2-3448-834B-FEEA97BE4EC5}"/>
    <hyperlink ref="A81" r:id="rId82" tooltip="C-GRDC" display="https://wwwapps.tc.gc.ca/Saf-Sec-Sur/2/CCARCS-RIACC/ADet.aspx?id=504053&amp;hs=N&amp;l=" xr:uid="{3869FCEB-6D28-F145-856F-ACA67069CC38}"/>
    <hyperlink ref="A82" r:id="rId83" tooltip="C-FPCN" display="https://wwwapps.tc.gc.ca/Saf-Sec-Sur/2/CCARCS-RIACC/ADet.aspx?id=508406&amp;hs=N&amp;l=" xr:uid="{91E6CB22-D0E2-C342-AB13-918E85FC0CAE}"/>
    <hyperlink ref="A83" r:id="rId84" tooltip="C-FXAB" display="https://wwwapps.tc.gc.ca/Saf-Sec-Sur/2/CCARCS-RIACC/ADet.aspx?id=27433&amp;hs=N&amp;l=" xr:uid="{4104DBD4-FE46-884D-B730-948C183C1863}"/>
    <hyperlink ref="A84" r:id="rId85" tooltip="C-GNQZ" display="https://wwwapps.tc.gc.ca/Saf-Sec-Sur/2/CCARCS-RIACC/ADet.aspx?id=522232&amp;hs=N&amp;l=" xr:uid="{64F405D6-0683-7048-9C94-F355091AD914}"/>
    <hyperlink ref="A85" r:id="rId86" tooltip="C-GMQZ" display="https://wwwapps.tc.gc.ca/Saf-Sec-Sur/2/CCARCS-RIACC/ADet.aspx?id=27651&amp;hs=N&amp;l=" xr:uid="{CD871596-523A-3244-869C-367A1863CE71}"/>
    <hyperlink ref="A86" r:id="rId87" tooltip="C-GBJV" display="https://wwwapps.tc.gc.ca/Saf-Sec-Sur/2/CCARCS-RIACC/ADet.aspx?id=8770&amp;hs=N&amp;l=" xr:uid="{AF90A71D-681A-B14F-9F91-3070A74B2A44}"/>
    <hyperlink ref="A87" r:id="rId88" tooltip="C-GFKA" display="https://wwwapps.tc.gc.ca/Saf-Sec-Sur/2/CCARCS-RIACC/ADet.aspx?id=27039&amp;hs=N&amp;l=" xr:uid="{50821D87-E7D4-044F-BC70-931506EAA6A1}"/>
    <hyperlink ref="A88" r:id="rId89" tooltip="C-FKPI" display="https://wwwapps.tc.gc.ca/Saf-Sec-Sur/2/CCARCS-RIACC/ADet.aspx?id=27636&amp;hs=N&amp;l=" xr:uid="{14B5EFD9-1428-5D4C-A59A-1FBDB4155D4A}"/>
    <hyperlink ref="A89" r:id="rId90" tooltip="C-GBTL" display="https://wwwapps.tc.gc.ca/Saf-Sec-Sur/2/CCARCS-RIACC/ADet.aspx?id=27071&amp;hs=N&amp;l=" xr:uid="{745C4640-F18D-C744-9E98-2B04BB402A52}"/>
    <hyperlink ref="A90" r:id="rId91" tooltip="C-FSFI" display="https://wwwapps.tc.gc.ca/Saf-Sec-Sur/2/CCARCS-RIACC/ADet.aspx?id=529464&amp;hs=N&amp;l=" xr:uid="{81E3FC7F-854E-214E-A4D9-4784A3221018}"/>
    <hyperlink ref="A91" r:id="rId92" tooltip="C-FKPX" display="https://wwwapps.tc.gc.ca/Saf-Sec-Sur/2/CCARCS-RIACC/ADet.aspx?id=500149&amp;hs=N&amp;l=" xr:uid="{2BCA4FF2-2543-D04B-A2DF-F342653EE468}"/>
    <hyperlink ref="A92" r:id="rId93" tooltip="C-FIPC" display="https://wwwapps.tc.gc.ca/Saf-Sec-Sur/2/CCARCS-RIACC/ADet.aspx?id=528091&amp;hs=N&amp;l=" xr:uid="{A59C88A0-3FF2-F04E-AB39-DDB843BA2EC0}"/>
    <hyperlink ref="A93" r:id="rId94" tooltip="C-GICR" display="https://wwwapps.tc.gc.ca/Saf-Sec-Sur/2/CCARCS-RIACC/ADet.aspx?id=27888&amp;hs=N&amp;l=" xr:uid="{78D91167-25E3-854F-8E43-45EC2880CC9A}"/>
    <hyperlink ref="A94" r:id="rId95" tooltip="C-GVKC" display="https://wwwapps.tc.gc.ca/Saf-Sec-Sur/2/CCARCS-RIACC/ADet.aspx?id=27588&amp;hs=N&amp;l=" xr:uid="{977483D3-AD46-154E-AE35-3D7B42566910}"/>
    <hyperlink ref="A95" r:id="rId96" tooltip="C-FCLB" display="https://wwwapps.tc.gc.ca/Saf-Sec-Sur/2/CCARCS-RIACC/ADet.aspx?id=520186&amp;hs=N&amp;l=" xr:uid="{C1EB4ED7-3C2B-8D44-8086-5AEB664198F1}"/>
    <hyperlink ref="A96" r:id="rId97" tooltip="C-FVPK" display="https://wwwapps.tc.gc.ca/Saf-Sec-Sur/2/CCARCS-RIACC/ADet.aspx?id=28252&amp;hs=N&amp;l=" xr:uid="{A08AAC3E-6E19-FA48-A3C0-AB6894250775}"/>
    <hyperlink ref="A97" r:id="rId98" tooltip="C-FHCE" display="https://wwwapps.tc.gc.ca/Saf-Sec-Sur/2/CCARCS-RIACC/ADet.aspx?id=527715&amp;hs=N&amp;l=" xr:uid="{B9C82256-D99D-4940-8E2E-83C1BAB63FB2}"/>
    <hyperlink ref="A98" r:id="rId99" tooltip="C-GHPF" display="https://wwwapps.tc.gc.ca/Saf-Sec-Sur/2/CCARCS-RIACC/ADet.aspx?id=27903&amp;hs=N&amp;l=" xr:uid="{8A853D8A-472C-7049-A304-DAB5D0F40A18}"/>
    <hyperlink ref="A99" r:id="rId100" tooltip="C-FKGE" display="https://wwwapps.tc.gc.ca/Saf-Sec-Sur/2/CCARCS-RIACC/ADet.aspx?id=526922&amp;hs=N&amp;l=" xr:uid="{FFA53214-FA8D-2149-8E6D-0F043EDCEC50}"/>
    <hyperlink ref="A100" r:id="rId101" tooltip="C-GPSQ" display="https://wwwapps.tc.gc.ca/Saf-Sec-Sur/2/CCARCS-RIACC/ADet.aspx?id=509532&amp;hs=N&amp;l=" xr:uid="{A26300A2-59A8-0843-B0AE-75B73C446A97}"/>
    <hyperlink ref="A101" r:id="rId102" tooltip="C-FCVD" display="https://wwwapps.tc.gc.ca/Saf-Sec-Sur/2/CCARCS-RIACC/ADet.aspx?id=526020&amp;hs=N&amp;l=" xr:uid="{0DAA8DC1-8644-7843-9CD9-9287F0CC118A}"/>
    <hyperlink ref="A102" r:id="rId103" tooltip="C-GMPW" display="https://wwwapps.tc.gc.ca/Saf-Sec-Sur/2/CCARCS-RIACC/ADet.aspx?id=525980&amp;hs=N&amp;l=" xr:uid="{58A6B135-536F-9F40-BF1B-C5F9DAC428B6}"/>
    <hyperlink ref="A103" r:id="rId104" tooltip="C-FOPD" display="https://wwwapps.tc.gc.ca/Saf-Sec-Sur/2/CCARCS-RIACC/ADet.aspx?id=525915&amp;hs=N&amp;l=" xr:uid="{B1F43738-0B52-9D40-B29A-642D202D6137}"/>
    <hyperlink ref="A104" r:id="rId105" tooltip="C-GKUC" display="https://wwwapps.tc.gc.ca/Saf-Sec-Sur/2/CCARCS-RIACC/ADet.aspx?id=524188&amp;hs=N&amp;l=" xr:uid="{73C86FE9-5903-7248-B349-58B77110568B}"/>
    <hyperlink ref="A105" r:id="rId106" tooltip="C-GVDG" display="https://wwwapps.tc.gc.ca/Saf-Sec-Sur/2/CCARCS-RIACC/ADet.aspx?id=27941&amp;hs=N&amp;l=" xr:uid="{34ECCA67-083B-B942-A87C-871980FD4695}"/>
    <hyperlink ref="A106" r:id="rId107" tooltip="C-GMPB" display="https://wwwapps.tc.gc.ca/Saf-Sec-Sur/2/CCARCS-RIACC/ADet.aspx?id=523561&amp;hs=N&amp;l=" xr:uid="{E1414B15-21D2-524E-8F97-E7CDA974C87F}"/>
    <hyperlink ref="A107" r:id="rId108" tooltip="C-GMPQ" display="https://wwwapps.tc.gc.ca/Saf-Sec-Sur/2/CCARCS-RIACC/ADet.aspx?id=523197&amp;hs=N&amp;l=" xr:uid="{F97E0650-7610-F748-A965-F214DF837B69}"/>
    <hyperlink ref="A108" r:id="rId109" tooltip="C-GWEL" display="https://wwwapps.tc.gc.ca/Saf-Sec-Sur/2/CCARCS-RIACC/ADet.aspx?id=522814&amp;hs=N&amp;l=" xr:uid="{B6ACA97C-913E-B648-A82E-6E43BEB74A5D}"/>
    <hyperlink ref="A109" r:id="rId110" tooltip="C-GMPA" display="https://wwwapps.tc.gc.ca/Saf-Sec-Sur/2/CCARCS-RIACC/ADet.aspx?id=520941&amp;hs=N&amp;l=" xr:uid="{635604B5-E8B9-F647-B647-5AB94ECD3676}"/>
    <hyperlink ref="A110" r:id="rId111" tooltip="C-GRXR" display="https://wwwapps.tc.gc.ca/Saf-Sec-Sur/2/CCARCS-RIACC/ADet.aspx?id=520141&amp;hs=N&amp;l=" xr:uid="{0F623EBA-6938-DB41-8D7D-BF7CF52E8078}"/>
    <hyperlink ref="A111" r:id="rId112" tooltip="C-GRXO" display="https://wwwapps.tc.gc.ca/Saf-Sec-Sur/2/CCARCS-RIACC/ADet.aspx?id=520164&amp;hs=N&amp;l=" xr:uid="{212D7B27-B1CF-334E-B761-E69675B50A0E}"/>
    <hyperlink ref="A112" r:id="rId113" tooltip="C-GRXN" display="https://wwwapps.tc.gc.ca/Saf-Sec-Sur/2/CCARCS-RIACC/ADet.aspx?id=519899&amp;hs=N&amp;l=" xr:uid="{D214747C-5850-654F-9630-8730B89E1B21}"/>
    <hyperlink ref="A113" r:id="rId114" tooltip="C-FMPA" display="https://wwwapps.tc.gc.ca/Saf-Sec-Sur/2/CCARCS-RIACC/ADet.aspx?id=519829&amp;hs=N&amp;l=" xr:uid="{52A51639-F4B4-6B47-A3B3-C361A3AD4ABE}"/>
    <hyperlink ref="A114" r:id="rId115" tooltip="C-GMPO" display="https://wwwapps.tc.gc.ca/Saf-Sec-Sur/2/CCARCS-RIACC/ADet.aspx?id=519462&amp;hs=N&amp;l=" xr:uid="{557D7B3A-705B-9746-8F6B-54FBA9769D64}"/>
    <hyperlink ref="A115" r:id="rId116" tooltip="C-GMPV" display="https://wwwapps.tc.gc.ca/Saf-Sec-Sur/2/CCARCS-RIACC/ADet.aspx?id=518507&amp;hs=N&amp;l=" xr:uid="{5DAE3D8C-FB5F-BC42-8AE5-5B800094049D}"/>
    <hyperlink ref="A116" r:id="rId117" tooltip="C-GRXM" display="https://wwwapps.tc.gc.ca/Saf-Sec-Sur/2/CCARCS-RIACC/ADet.aspx?id=517608&amp;hs=N&amp;l=" xr:uid="{CC077CC9-3995-944D-8AA9-0BBDFFFB955E}"/>
    <hyperlink ref="A117" r:id="rId118" tooltip="C-GRXH" display="https://wwwapps.tc.gc.ca/Saf-Sec-Sur/2/CCARCS-RIACC/ADet.aspx?id=517576&amp;hs=N&amp;l=" xr:uid="{C33E451A-F768-9F46-A413-8191EB7E0DED}"/>
    <hyperlink ref="A118" r:id="rId119" tooltip="C-FTAB" display="https://wwwapps.tc.gc.ca/Saf-Sec-Sur/2/CCARCS-RIACC/ADet.aspx?id=6157&amp;hs=N&amp;l=" xr:uid="{903C8EC9-2C6E-1846-8959-B108DE600532}"/>
    <hyperlink ref="A119" r:id="rId120" tooltip="C-FGMQ" display="https://wwwapps.tc.gc.ca/Saf-Sec-Sur/2/CCARCS-RIACC/ADet.aspx?id=516938&amp;hs=N&amp;l=" xr:uid="{2C845531-2FA8-CA48-ABF4-38A4DE260F2D}"/>
    <hyperlink ref="A120" r:id="rId121" tooltip="C-GRXE" display="https://wwwapps.tc.gc.ca/Saf-Sec-Sur/2/CCARCS-RIACC/ADet.aspx?id=516855&amp;hs=N&amp;l=" xr:uid="{F5163BDB-ABED-4443-A03F-87C4CB1384A3}"/>
    <hyperlink ref="A121" r:id="rId122" tooltip="C-GRXD" display="https://wwwapps.tc.gc.ca/Saf-Sec-Sur/2/CCARCS-RIACC/ADet.aspx?id=516721&amp;hs=N&amp;l=" xr:uid="{C9223B8A-7A1B-EA43-8508-D25A72B53D81}"/>
    <hyperlink ref="A122" r:id="rId123" tooltip="C-FMPK" display="https://wwwapps.tc.gc.ca/Saf-Sec-Sur/2/CCARCS-RIACC/ADet.aspx?id=516698&amp;hs=N&amp;l=" xr:uid="{FD064E2E-8C6E-1E4D-9147-747EB62CD935}"/>
    <hyperlink ref="A123" r:id="rId124" tooltip="C-GRXB" display="https://wwwapps.tc.gc.ca/Saf-Sec-Sur/2/CCARCS-RIACC/ADet.aspx?id=516629&amp;hs=N&amp;l=" xr:uid="{73069950-B90C-1543-8523-7FD7DB827D84}"/>
    <hyperlink ref="A124" r:id="rId125" tooltip="C-GMPE" display="https://wwwapps.tc.gc.ca/Saf-Sec-Sur/2/CCARCS-RIACC/ADet.aspx?id=516270&amp;hs=N&amp;l=" xr:uid="{4E9EA282-4DE9-7043-ADFB-614A8AE304A2}"/>
    <hyperlink ref="A125" r:id="rId126" tooltip="C-GMPX" display="https://wwwapps.tc.gc.ca/Saf-Sec-Sur/2/CCARCS-RIACC/ADet.aspx?id=516208&amp;hs=N&amp;l=" xr:uid="{948C9A4F-E7E8-0441-8B42-8D867B8AF6C3}"/>
    <hyperlink ref="A126" r:id="rId127" tooltip="C-GMPM" display="https://wwwapps.tc.gc.ca/Saf-Sec-Sur/2/CCARCS-RIACC/ADet.aspx?id=515308&amp;hs=N&amp;l=" xr:uid="{94FED289-6F28-104D-8C76-6D002405C94F}"/>
    <hyperlink ref="A127" r:id="rId128" tooltip="C-GFLN" display="https://wwwapps.tc.gc.ca/Saf-Sec-Sur/2/CCARCS-RIACC/ADet.aspx?id=511584&amp;hs=N&amp;l=" xr:uid="{65F60687-3C7C-3948-AB76-567C7A4001D4}"/>
    <hyperlink ref="A128" r:id="rId129" tooltip="C-FMPF" display="https://wwwapps.tc.gc.ca/Saf-Sec-Sur/2/CCARCS-RIACC/ADet.aspx?id=511006&amp;hs=N&amp;l=" xr:uid="{9A1665B0-22C6-E541-A930-AA2076546180}"/>
    <hyperlink ref="A129" r:id="rId130" tooltip="C-GMPP" display="https://wwwapps.tc.gc.ca/Saf-Sec-Sur/2/CCARCS-RIACC/ADet.aspx?id=26416&amp;hs=N&amp;l=" xr:uid="{06D12969-270E-514E-89D6-080544235216}"/>
    <hyperlink ref="A130" r:id="rId131" tooltip="C-GMPY" display="https://wwwapps.tc.gc.ca/Saf-Sec-Sur/2/CCARCS-RIACC/ADet.aspx?id=25794&amp;hs=N&amp;l=" xr:uid="{7558F72B-BA71-FA43-B7AE-2107A757EA76}"/>
    <hyperlink ref="A131" r:id="rId132" tooltip="C-FMPB" display="https://wwwapps.tc.gc.ca/Saf-Sec-Sur/2/CCARCS-RIACC/ADet.aspx?id=27611&amp;hs=N&amp;l=" xr:uid="{09C438CA-5C29-1848-AE71-B71D58B35CDD}"/>
  </hyperlinks>
  <pageMargins left="0.7" right="0.7" top="0.75" bottom="0.75" header="0.3" footer="0.3"/>
  <drawing r:id="rId1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57A3-12B9-E04D-968D-9A6EAA74F53E}">
  <dimension ref="A1:AL125"/>
  <sheetViews>
    <sheetView zoomScale="75" workbookViewId="0">
      <selection activeCell="B19" sqref="B19"/>
    </sheetView>
  </sheetViews>
  <sheetFormatPr baseColWidth="10" defaultRowHeight="16" x14ac:dyDescent="0.2"/>
  <cols>
    <col min="1" max="1" width="13" bestFit="1" customWidth="1"/>
    <col min="2" max="2" width="57.83203125" bestFit="1" customWidth="1"/>
    <col min="3" max="3" width="60.1640625" bestFit="1" customWidth="1"/>
    <col min="4" max="4" width="14.1640625" bestFit="1" customWidth="1"/>
    <col min="5" max="5" width="9.33203125" bestFit="1" customWidth="1"/>
    <col min="6" max="6" width="14.33203125" bestFit="1" customWidth="1"/>
    <col min="7" max="7" width="11.33203125" bestFit="1" customWidth="1"/>
    <col min="8" max="8" width="10.6640625" bestFit="1" customWidth="1"/>
    <col min="9" max="9" width="15.6640625" bestFit="1" customWidth="1"/>
    <col min="10" max="10" width="17.1640625" bestFit="1" customWidth="1"/>
    <col min="11" max="11" width="16.83203125" bestFit="1" customWidth="1"/>
    <col min="12" max="12" width="17.83203125" bestFit="1" customWidth="1"/>
    <col min="13" max="13" width="16.6640625" bestFit="1" customWidth="1"/>
    <col min="14" max="14" width="36.33203125" bestFit="1" customWidth="1"/>
    <col min="15" max="15" width="31.83203125" bestFit="1" customWidth="1"/>
    <col min="16" max="17" width="48.6640625" bestFit="1" customWidth="1"/>
    <col min="18" max="18" width="43.6640625" bestFit="1" customWidth="1"/>
    <col min="19" max="19" width="48.83203125" bestFit="1" customWidth="1"/>
    <col min="20" max="20" width="45.6640625" bestFit="1" customWidth="1"/>
    <col min="21" max="21" width="51.5" bestFit="1" customWidth="1"/>
    <col min="22" max="22" width="51.1640625" bestFit="1" customWidth="1"/>
    <col min="23" max="23" width="52.1640625" bestFit="1" customWidth="1"/>
    <col min="24" max="24" width="51" bestFit="1" customWidth="1"/>
    <col min="25" max="25" width="70.83203125" bestFit="1" customWidth="1"/>
    <col min="26" max="26" width="66.1640625" bestFit="1" customWidth="1"/>
    <col min="27" max="27" width="31.83203125" bestFit="1" customWidth="1"/>
    <col min="28" max="28" width="49.5" bestFit="1" customWidth="1"/>
    <col min="29" max="29" width="48.1640625" bestFit="1" customWidth="1"/>
    <col min="30" max="30" width="37.1640625" bestFit="1" customWidth="1"/>
    <col min="31" max="31" width="34.33203125" bestFit="1" customWidth="1"/>
    <col min="32" max="32" width="34" bestFit="1" customWidth="1"/>
    <col min="33" max="33" width="31" bestFit="1" customWidth="1"/>
    <col min="34" max="34" width="35.33203125" bestFit="1" customWidth="1"/>
    <col min="35" max="35" width="35" bestFit="1" customWidth="1"/>
    <col min="36" max="36" width="54" bestFit="1" customWidth="1"/>
    <col min="37" max="37" width="49.33203125" bestFit="1" customWidth="1"/>
    <col min="38" max="38" width="49.1640625" bestFit="1" customWidth="1"/>
    <col min="39" max="39" width="46.1640625" bestFit="1" customWidth="1"/>
    <col min="40" max="40" width="57.6640625" bestFit="1" customWidth="1"/>
  </cols>
  <sheetData>
    <row r="1" spans="1:38" ht="16" customHeight="1" x14ac:dyDescent="0.2">
      <c r="A1" s="7" t="s">
        <v>189</v>
      </c>
      <c r="B1" s="7" t="s">
        <v>198</v>
      </c>
      <c r="C1" s="7" t="s">
        <v>190</v>
      </c>
      <c r="D1" s="7" t="s">
        <v>191</v>
      </c>
      <c r="E1" s="7" t="s">
        <v>192</v>
      </c>
      <c r="F1" s="7" t="s">
        <v>194</v>
      </c>
      <c r="G1" s="7" t="s">
        <v>193</v>
      </c>
      <c r="H1" s="7" t="s">
        <v>195</v>
      </c>
      <c r="I1" s="7" t="s">
        <v>196</v>
      </c>
      <c r="J1" s="7" t="s">
        <v>199</v>
      </c>
      <c r="K1" s="7" t="s">
        <v>200</v>
      </c>
      <c r="L1" s="7" t="s">
        <v>201</v>
      </c>
      <c r="M1" s="7" t="s">
        <v>202</v>
      </c>
      <c r="N1" s="7" t="s">
        <v>203</v>
      </c>
      <c r="O1" s="7" t="s">
        <v>204</v>
      </c>
      <c r="P1" s="7" t="str">
        <f>"Percentage of Aircraft that is " &amp;C1</f>
        <v>Percentage of Aircraft that is Aeroplanes</v>
      </c>
      <c r="Q1" s="7" t="str">
        <f>"Percentage of Aircraft that is " &amp;D1</f>
        <v>Percentage of Aircraft that is Helicopters</v>
      </c>
      <c r="R1" s="7" t="str">
        <f t="shared" ref="R1:S1" si="0">"Percentage of Aircraft that is " &amp;E1</f>
        <v>Percentage of Aircraft that is Gliders</v>
      </c>
      <c r="S1" s="7" t="str">
        <f t="shared" si="0"/>
        <v>Percentage of Aircraft that is Gyroplanes</v>
      </c>
      <c r="T1" s="7" t="str">
        <f>"Percentage of Aircraft that is " &amp;G1</f>
        <v>Percentage of Aircraft that is Balloons</v>
      </c>
      <c r="U1" s="7" t="str">
        <f t="shared" ref="U1:Z1" si="1">"Percentage of Aircraft that is " &amp;J1</f>
        <v>Percentage of Aircraft that is Single Engine</v>
      </c>
      <c r="V1" s="7" t="str">
        <f t="shared" si="1"/>
        <v>Percentage of Aircraft that is Twin Engines</v>
      </c>
      <c r="W1" s="7" t="str">
        <f t="shared" si="1"/>
        <v>Percentage of Aircraft that is Three Engines</v>
      </c>
      <c r="X1" s="7" t="str">
        <f t="shared" si="1"/>
        <v>Percentage of Aircraft that is Four Engines</v>
      </c>
      <c r="Y1" s="7" t="str">
        <f t="shared" si="1"/>
        <v>Percentage of Aircraft that is 12,500 lbs. (5670 kgs) &amp; Under</v>
      </c>
      <c r="Z1" s="7" t="str">
        <f t="shared" si="1"/>
        <v>Percentage of Aircraft that is Over 12,500 lbs.(5670 kgs)</v>
      </c>
      <c r="AA1" s="7" t="str">
        <f>"Growth rate of " &amp; C1</f>
        <v>Growth rate of Aeroplanes</v>
      </c>
      <c r="AB1" s="7" t="str">
        <f>"Growth rate of " &amp; D1</f>
        <v>Growth rate of Helicopters</v>
      </c>
      <c r="AC1" s="7" t="str">
        <f t="shared" ref="AC1:AE1" si="2">"Growth rate of " &amp; E1</f>
        <v>Growth rate of Gliders</v>
      </c>
      <c r="AD1" s="7" t="str">
        <f t="shared" si="2"/>
        <v>Growth rate of Gyroplanes</v>
      </c>
      <c r="AE1" s="7" t="str">
        <f t="shared" si="2"/>
        <v>Growth rate of Balloons</v>
      </c>
      <c r="AF1" s="7" t="str">
        <f t="shared" ref="AF1" si="3">"Growth rate of " &amp; J1</f>
        <v>Growth rate of Single Engine</v>
      </c>
      <c r="AG1" s="7" t="str">
        <f t="shared" ref="AG1" si="4">"Growth rate of " &amp; K1</f>
        <v>Growth rate of Twin Engines</v>
      </c>
      <c r="AH1" s="7" t="str">
        <f t="shared" ref="AH1:AJ1" si="5">"Growth rate of " &amp; L1</f>
        <v>Growth rate of Three Engines</v>
      </c>
      <c r="AI1" s="7" t="str">
        <f t="shared" si="5"/>
        <v>Growth rate of Four Engines</v>
      </c>
      <c r="AJ1" s="7" t="str">
        <f t="shared" si="5"/>
        <v>Growth rate of 12,500 lbs. (5670 kgs) &amp; Under</v>
      </c>
      <c r="AK1" s="7" t="str">
        <f t="shared" ref="AK1" si="6">"Growth rate of " &amp; O1</f>
        <v>Growth rate of Over 12,500 lbs.(5670 kgs)</v>
      </c>
      <c r="AL1" s="7" t="str">
        <f>"Growth rate of " &amp; B1</f>
        <v>Growth rate of Totals</v>
      </c>
    </row>
    <row r="2" spans="1:38" ht="18" x14ac:dyDescent="0.2">
      <c r="A2" s="7">
        <v>1999</v>
      </c>
      <c r="B2" s="8">
        <v>28047</v>
      </c>
      <c r="C2" s="8">
        <v>25114</v>
      </c>
      <c r="D2" s="8">
        <v>1711</v>
      </c>
      <c r="E2" s="8">
        <v>596</v>
      </c>
      <c r="F2" s="8">
        <v>181</v>
      </c>
      <c r="G2" s="8">
        <v>442</v>
      </c>
      <c r="H2" s="8">
        <v>2</v>
      </c>
      <c r="I2" s="8">
        <v>1</v>
      </c>
      <c r="J2" s="8">
        <v>23365</v>
      </c>
      <c r="K2" s="8">
        <v>3490</v>
      </c>
      <c r="L2" s="8">
        <v>70</v>
      </c>
      <c r="M2" s="8">
        <v>84</v>
      </c>
      <c r="N2" s="8">
        <v>26783</v>
      </c>
      <c r="O2" s="8">
        <v>1264</v>
      </c>
      <c r="P2">
        <f>C2*100/B2</f>
        <v>89.542553570791881</v>
      </c>
      <c r="Q2">
        <f>D2*100/B2</f>
        <v>6.1004742040146898</v>
      </c>
      <c r="R2">
        <f>E2*100/B2</f>
        <v>2.1250044568046493</v>
      </c>
      <c r="S2">
        <f>F2*100/B2</f>
        <v>0.64534531322423072</v>
      </c>
      <c r="T2">
        <f>G2*100/B2</f>
        <v>1.5759261240061326</v>
      </c>
      <c r="U2">
        <f>J2*100/B2</f>
        <v>83.306592505437308</v>
      </c>
      <c r="V2">
        <f>K2*100/B2</f>
        <v>12.443398580953399</v>
      </c>
      <c r="W2">
        <f>L2*100/B2</f>
        <v>0.24958106036296218</v>
      </c>
      <c r="X2">
        <f>M2*100/B2</f>
        <v>0.29949727243555463</v>
      </c>
      <c r="Y2">
        <f>N2*100/B2</f>
        <v>95.493279138588804</v>
      </c>
      <c r="Z2">
        <f>O2*100/B2</f>
        <v>4.5067208614112024</v>
      </c>
    </row>
    <row r="3" spans="1:38" ht="18" x14ac:dyDescent="0.2">
      <c r="A3" s="7">
        <v>2000</v>
      </c>
      <c r="B3" s="8">
        <v>28242</v>
      </c>
      <c r="C3" s="8">
        <v>25256</v>
      </c>
      <c r="D3" s="8">
        <v>1753</v>
      </c>
      <c r="E3" s="8">
        <v>600</v>
      </c>
      <c r="F3" s="8">
        <v>186</v>
      </c>
      <c r="G3" s="8">
        <v>444</v>
      </c>
      <c r="H3" s="8">
        <v>2</v>
      </c>
      <c r="I3" s="8">
        <v>1</v>
      </c>
      <c r="J3" s="8">
        <v>23515</v>
      </c>
      <c r="K3" s="8">
        <v>3536</v>
      </c>
      <c r="L3" s="8">
        <v>67</v>
      </c>
      <c r="M3" s="8">
        <v>80</v>
      </c>
      <c r="N3" s="8">
        <v>26922</v>
      </c>
      <c r="O3" s="8">
        <v>1320</v>
      </c>
      <c r="P3">
        <f t="shared" ref="P3:P28" si="7">C3*100/B3</f>
        <v>89.427094398413715</v>
      </c>
      <c r="Q3">
        <f t="shared" ref="Q3:Q28" si="8">D3*100/B3</f>
        <v>6.2070674881382342</v>
      </c>
      <c r="R3">
        <f t="shared" ref="R3:R28" si="9">E3*100/B3</f>
        <v>2.1244954323348204</v>
      </c>
      <c r="S3">
        <f t="shared" ref="S3:S28" si="10">F3*100/B3</f>
        <v>0.65859358402379431</v>
      </c>
      <c r="T3">
        <f t="shared" ref="T3:T28" si="11">G3*100/B3</f>
        <v>1.5721266199277673</v>
      </c>
      <c r="U3">
        <f t="shared" ref="U3:U28" si="12">J3*100/B3</f>
        <v>83.26251681892218</v>
      </c>
      <c r="V3">
        <f t="shared" ref="V3:V28" si="13">K3*100/B3</f>
        <v>12.520359747893208</v>
      </c>
      <c r="W3">
        <f t="shared" ref="W3:W28" si="14">L3*100/B3</f>
        <v>0.23723532327738828</v>
      </c>
      <c r="X3">
        <f t="shared" ref="X3:X28" si="15">M3*100/B3</f>
        <v>0.28326605764464274</v>
      </c>
      <c r="Y3">
        <f t="shared" ref="Y3:Y28" si="16">N3*100/B3</f>
        <v>95.326110048863399</v>
      </c>
      <c r="Z3">
        <f t="shared" ref="Z3:Z28" si="17">O3*100/B3</f>
        <v>4.673889951136605</v>
      </c>
      <c r="AA3">
        <f>100*(C3 - C2)/C2</f>
        <v>0.56542167715218605</v>
      </c>
      <c r="AB3">
        <f>100*(D3 - D2)/D2</f>
        <v>2.4547048509643483</v>
      </c>
      <c r="AC3">
        <f t="shared" ref="AC3:AE18" si="18">100*(E3 - E2)/E2</f>
        <v>0.67114093959731547</v>
      </c>
      <c r="AD3">
        <f t="shared" si="18"/>
        <v>2.7624309392265194</v>
      </c>
      <c r="AE3">
        <f t="shared" si="18"/>
        <v>0.45248868778280543</v>
      </c>
      <c r="AF3">
        <f t="shared" ref="AF3:AK3" si="19">100*(J3 - J2)/J2</f>
        <v>0.64198587631072113</v>
      </c>
      <c r="AG3">
        <f t="shared" si="19"/>
        <v>1.3180515759312321</v>
      </c>
      <c r="AH3">
        <f t="shared" si="19"/>
        <v>-4.2857142857142856</v>
      </c>
      <c r="AI3">
        <f t="shared" si="19"/>
        <v>-4.7619047619047619</v>
      </c>
      <c r="AJ3">
        <f t="shared" si="19"/>
        <v>0.51898592390695586</v>
      </c>
      <c r="AK3">
        <f t="shared" si="19"/>
        <v>4.4303797468354427</v>
      </c>
      <c r="AL3">
        <f>100*(B3 - B2)/B2</f>
        <v>0.69526152529682317</v>
      </c>
    </row>
    <row r="4" spans="1:38" ht="18" x14ac:dyDescent="0.2">
      <c r="A4" s="7">
        <v>2001</v>
      </c>
      <c r="B4" s="8">
        <v>28493</v>
      </c>
      <c r="C4" s="8">
        <v>25435</v>
      </c>
      <c r="D4" s="8">
        <v>1798</v>
      </c>
      <c r="E4" s="8">
        <v>613</v>
      </c>
      <c r="F4" s="8">
        <v>190</v>
      </c>
      <c r="G4" s="8">
        <v>453</v>
      </c>
      <c r="H4" s="8">
        <v>3</v>
      </c>
      <c r="I4" s="8">
        <v>1</v>
      </c>
      <c r="J4" s="8">
        <v>23729</v>
      </c>
      <c r="K4" s="8">
        <v>3549</v>
      </c>
      <c r="L4" s="8">
        <v>70</v>
      </c>
      <c r="M4" s="8">
        <v>80</v>
      </c>
      <c r="N4" s="8">
        <v>27171</v>
      </c>
      <c r="O4" s="8">
        <v>1322</v>
      </c>
      <c r="P4">
        <f t="shared" si="7"/>
        <v>89.267539395641037</v>
      </c>
      <c r="Q4">
        <f t="shared" si="8"/>
        <v>6.3103218334327726</v>
      </c>
      <c r="R4">
        <f t="shared" si="9"/>
        <v>2.1514056083950446</v>
      </c>
      <c r="S4">
        <f t="shared" si="10"/>
        <v>0.66683044958410842</v>
      </c>
      <c r="T4">
        <f t="shared" si="11"/>
        <v>1.5898641771663216</v>
      </c>
      <c r="U4">
        <f t="shared" si="12"/>
        <v>83.280103885164777</v>
      </c>
      <c r="V4">
        <f t="shared" si="13"/>
        <v>12.455690871442108</v>
      </c>
      <c r="W4">
        <f t="shared" si="14"/>
        <v>0.24567437616256624</v>
      </c>
      <c r="X4">
        <f t="shared" si="15"/>
        <v>0.2807707156143614</v>
      </c>
      <c r="Y4">
        <f t="shared" si="16"/>
        <v>95.360263924472676</v>
      </c>
      <c r="Z4">
        <f t="shared" si="17"/>
        <v>4.6397360755273223</v>
      </c>
      <c r="AA4">
        <f t="shared" ref="AA4:AA28" si="20">100*(C4 - C3)/C3</f>
        <v>0.70874247703515991</v>
      </c>
      <c r="AB4">
        <f t="shared" ref="AB4:AB28" si="21">100*(D4 - D3)/D3</f>
        <v>2.5670279520821451</v>
      </c>
      <c r="AC4">
        <f t="shared" si="18"/>
        <v>2.1666666666666665</v>
      </c>
      <c r="AD4">
        <f t="shared" si="18"/>
        <v>2.150537634408602</v>
      </c>
      <c r="AE4">
        <f t="shared" si="18"/>
        <v>2.0270270270270272</v>
      </c>
      <c r="AF4">
        <f t="shared" ref="AF4:AF28" si="22">100*(J4 - J3)/J3</f>
        <v>0.91005741016372532</v>
      </c>
      <c r="AG4">
        <f t="shared" ref="AG4:AG28" si="23">100*(K4 - K3)/K3</f>
        <v>0.36764705882352944</v>
      </c>
      <c r="AH4">
        <f t="shared" ref="AH4:AH28" si="24">100*(L4 - L3)/L3</f>
        <v>4.4776119402985071</v>
      </c>
      <c r="AI4">
        <f t="shared" ref="AI4:AI28" si="25">100*(M4 - M3)/M3</f>
        <v>0</v>
      </c>
      <c r="AJ4">
        <f t="shared" ref="AJ4:AK28" si="26">100*(N4 - N3)/N3</f>
        <v>0.92489413862268777</v>
      </c>
      <c r="AK4">
        <f t="shared" si="26"/>
        <v>0.15151515151515152</v>
      </c>
      <c r="AL4">
        <f t="shared" ref="AL4:AL28" si="27">100*(B4 - B3)/B3</f>
        <v>0.88874725586006653</v>
      </c>
    </row>
    <row r="5" spans="1:38" ht="18" x14ac:dyDescent="0.2">
      <c r="A5" s="7">
        <v>2002</v>
      </c>
      <c r="B5" s="8">
        <v>28744</v>
      </c>
      <c r="C5" s="8">
        <v>25650</v>
      </c>
      <c r="D5" s="8">
        <v>1831</v>
      </c>
      <c r="E5" s="8">
        <v>617</v>
      </c>
      <c r="F5" s="8">
        <v>189</v>
      </c>
      <c r="G5" s="8">
        <v>453</v>
      </c>
      <c r="H5" s="8">
        <v>3</v>
      </c>
      <c r="I5" s="8">
        <v>1</v>
      </c>
      <c r="J5" s="8">
        <v>23965</v>
      </c>
      <c r="K5" s="8">
        <v>3564</v>
      </c>
      <c r="L5" s="8">
        <v>69</v>
      </c>
      <c r="M5" s="8">
        <v>73</v>
      </c>
      <c r="N5" s="8">
        <v>27374</v>
      </c>
      <c r="O5" s="8">
        <v>1370</v>
      </c>
      <c r="P5">
        <f t="shared" si="7"/>
        <v>89.23601447258558</v>
      </c>
      <c r="Q5">
        <f t="shared" si="8"/>
        <v>6.3700250487058172</v>
      </c>
      <c r="R5">
        <f t="shared" si="9"/>
        <v>2.1465349290286668</v>
      </c>
      <c r="S5">
        <f t="shared" si="10"/>
        <v>0.65752852769273584</v>
      </c>
      <c r="T5">
        <f t="shared" si="11"/>
        <v>1.5759810743111606</v>
      </c>
      <c r="U5">
        <f t="shared" si="12"/>
        <v>83.373921514055112</v>
      </c>
      <c r="V5">
        <f t="shared" si="13"/>
        <v>12.399109379348733</v>
      </c>
      <c r="W5">
        <f t="shared" si="14"/>
        <v>0.24005009741163374</v>
      </c>
      <c r="X5">
        <f t="shared" si="15"/>
        <v>0.25396604508767046</v>
      </c>
      <c r="Y5">
        <f t="shared" si="16"/>
        <v>95.233787920957411</v>
      </c>
      <c r="Z5">
        <f t="shared" si="17"/>
        <v>4.7662120790425826</v>
      </c>
      <c r="AA5">
        <f t="shared" si="20"/>
        <v>0.84529192058187541</v>
      </c>
      <c r="AB5">
        <f t="shared" si="21"/>
        <v>1.835372636262514</v>
      </c>
      <c r="AC5">
        <f t="shared" si="18"/>
        <v>0.65252854812398042</v>
      </c>
      <c r="AD5">
        <f t="shared" si="18"/>
        <v>-0.52631578947368418</v>
      </c>
      <c r="AE5">
        <f t="shared" si="18"/>
        <v>0</v>
      </c>
      <c r="AF5">
        <f t="shared" si="22"/>
        <v>0.99456361414303174</v>
      </c>
      <c r="AG5">
        <f t="shared" si="23"/>
        <v>0.42265426880811496</v>
      </c>
      <c r="AH5">
        <f t="shared" si="24"/>
        <v>-1.4285714285714286</v>
      </c>
      <c r="AI5">
        <f t="shared" si="25"/>
        <v>-8.75</v>
      </c>
      <c r="AJ5">
        <f t="shared" si="26"/>
        <v>0.74712009127378454</v>
      </c>
      <c r="AK5">
        <f t="shared" si="26"/>
        <v>3.6308623298033282</v>
      </c>
      <c r="AL5">
        <f t="shared" si="27"/>
        <v>0.880918120240059</v>
      </c>
    </row>
    <row r="6" spans="1:38" ht="18" x14ac:dyDescent="0.2">
      <c r="A6" s="7">
        <v>2003</v>
      </c>
      <c r="B6" s="8">
        <v>29112</v>
      </c>
      <c r="C6" s="8">
        <v>25902</v>
      </c>
      <c r="D6" s="8">
        <v>1894</v>
      </c>
      <c r="E6" s="8">
        <v>674</v>
      </c>
      <c r="F6" s="8">
        <v>188</v>
      </c>
      <c r="G6" s="8">
        <v>450</v>
      </c>
      <c r="H6" s="8">
        <v>3</v>
      </c>
      <c r="I6" s="8">
        <v>1</v>
      </c>
      <c r="J6" s="8">
        <v>24314</v>
      </c>
      <c r="K6" s="8">
        <v>3576</v>
      </c>
      <c r="L6" s="8">
        <v>71</v>
      </c>
      <c r="M6" s="8">
        <v>74</v>
      </c>
      <c r="N6" s="8">
        <v>27752</v>
      </c>
      <c r="O6" s="8">
        <v>1360</v>
      </c>
      <c r="P6">
        <f t="shared" si="7"/>
        <v>88.973619126133556</v>
      </c>
      <c r="Q6">
        <f t="shared" si="8"/>
        <v>6.5059082165430064</v>
      </c>
      <c r="R6">
        <f t="shared" si="9"/>
        <v>2.3151964825501512</v>
      </c>
      <c r="S6">
        <f t="shared" si="10"/>
        <v>0.64578180818906294</v>
      </c>
      <c r="T6">
        <f t="shared" si="11"/>
        <v>1.5457543281121187</v>
      </c>
      <c r="U6">
        <f t="shared" si="12"/>
        <v>83.518823852706788</v>
      </c>
      <c r="V6">
        <f t="shared" si="13"/>
        <v>12.283594394064304</v>
      </c>
      <c r="W6">
        <f t="shared" si="14"/>
        <v>0.24388568287991205</v>
      </c>
      <c r="X6">
        <f t="shared" si="15"/>
        <v>0.25419071173399288</v>
      </c>
      <c r="Y6">
        <f t="shared" si="16"/>
        <v>95.328386919483378</v>
      </c>
      <c r="Z6">
        <f t="shared" si="17"/>
        <v>4.6716130805166252</v>
      </c>
      <c r="AA6">
        <f t="shared" si="20"/>
        <v>0.98245614035087714</v>
      </c>
      <c r="AB6">
        <f t="shared" si="21"/>
        <v>3.4407427635172039</v>
      </c>
      <c r="AC6">
        <f t="shared" si="18"/>
        <v>9.238249594813615</v>
      </c>
      <c r="AD6">
        <f t="shared" si="18"/>
        <v>-0.52910052910052907</v>
      </c>
      <c r="AE6">
        <f t="shared" si="18"/>
        <v>-0.66225165562913912</v>
      </c>
      <c r="AF6">
        <f t="shared" si="22"/>
        <v>1.4562904235343208</v>
      </c>
      <c r="AG6">
        <f t="shared" si="23"/>
        <v>0.33670033670033672</v>
      </c>
      <c r="AH6">
        <f t="shared" si="24"/>
        <v>2.8985507246376812</v>
      </c>
      <c r="AI6">
        <f t="shared" si="25"/>
        <v>1.3698630136986301</v>
      </c>
      <c r="AJ6">
        <f t="shared" si="26"/>
        <v>1.3808723606341784</v>
      </c>
      <c r="AK6">
        <f t="shared" si="26"/>
        <v>-0.72992700729927007</v>
      </c>
      <c r="AL6">
        <f t="shared" si="27"/>
        <v>1.2802671861953798</v>
      </c>
    </row>
    <row r="7" spans="1:38" ht="18" x14ac:dyDescent="0.2">
      <c r="A7" s="7">
        <v>2004</v>
      </c>
      <c r="B7" s="8">
        <v>29614</v>
      </c>
      <c r="C7" s="8">
        <v>26335</v>
      </c>
      <c r="D7" s="8">
        <v>1940</v>
      </c>
      <c r="E7" s="8">
        <v>686</v>
      </c>
      <c r="F7" s="8">
        <v>189</v>
      </c>
      <c r="G7" s="8">
        <v>459</v>
      </c>
      <c r="H7" s="8">
        <v>4</v>
      </c>
      <c r="I7" s="8">
        <v>1</v>
      </c>
      <c r="J7" s="8">
        <v>24685</v>
      </c>
      <c r="K7" s="8">
        <v>3693</v>
      </c>
      <c r="L7" s="8">
        <v>68</v>
      </c>
      <c r="M7" s="8">
        <v>76</v>
      </c>
      <c r="N7" s="8">
        <v>28166</v>
      </c>
      <c r="O7" s="8">
        <v>1448</v>
      </c>
      <c r="P7">
        <f t="shared" si="7"/>
        <v>88.927534274329716</v>
      </c>
      <c r="Q7">
        <f t="shared" si="8"/>
        <v>6.5509556290943474</v>
      </c>
      <c r="R7">
        <f t="shared" si="9"/>
        <v>2.316471938947795</v>
      </c>
      <c r="S7">
        <f t="shared" si="10"/>
        <v>0.63821165664888224</v>
      </c>
      <c r="T7">
        <f t="shared" si="11"/>
        <v>1.5499425947187142</v>
      </c>
      <c r="U7">
        <f t="shared" si="12"/>
        <v>83.355845208347404</v>
      </c>
      <c r="V7">
        <f t="shared" si="13"/>
        <v>12.470453164044033</v>
      </c>
      <c r="W7">
        <f t="shared" si="14"/>
        <v>0.22962112514351321</v>
      </c>
      <c r="X7">
        <f t="shared" si="15"/>
        <v>0.25663537516039708</v>
      </c>
      <c r="Y7">
        <f t="shared" si="16"/>
        <v>95.110420746944015</v>
      </c>
      <c r="Z7">
        <f t="shared" si="17"/>
        <v>4.8895792530559872</v>
      </c>
      <c r="AA7">
        <f t="shared" si="20"/>
        <v>1.671685584124778</v>
      </c>
      <c r="AB7">
        <f t="shared" si="21"/>
        <v>2.4287222808870115</v>
      </c>
      <c r="AC7">
        <f t="shared" si="18"/>
        <v>1.7804154302670623</v>
      </c>
      <c r="AD7">
        <f t="shared" si="18"/>
        <v>0.53191489361702127</v>
      </c>
      <c r="AE7">
        <f t="shared" si="18"/>
        <v>2</v>
      </c>
      <c r="AF7">
        <f t="shared" si="22"/>
        <v>1.5258698692111541</v>
      </c>
      <c r="AG7">
        <f t="shared" si="23"/>
        <v>3.2718120805369129</v>
      </c>
      <c r="AH7">
        <f t="shared" si="24"/>
        <v>-4.225352112676056</v>
      </c>
      <c r="AI7">
        <f t="shared" si="25"/>
        <v>2.7027027027027026</v>
      </c>
      <c r="AJ7">
        <f t="shared" si="26"/>
        <v>1.491784375900836</v>
      </c>
      <c r="AK7">
        <f t="shared" si="26"/>
        <v>6.4705882352941178</v>
      </c>
      <c r="AL7">
        <f t="shared" si="27"/>
        <v>1.724374828249519</v>
      </c>
    </row>
    <row r="8" spans="1:38" ht="18" x14ac:dyDescent="0.2">
      <c r="A8" s="7">
        <v>2005</v>
      </c>
      <c r="B8" s="8">
        <v>30244</v>
      </c>
      <c r="C8" s="8">
        <v>26870</v>
      </c>
      <c r="D8" s="8">
        <v>2019</v>
      </c>
      <c r="E8" s="8">
        <v>683</v>
      </c>
      <c r="F8" s="8">
        <v>192</v>
      </c>
      <c r="G8" s="8">
        <v>475</v>
      </c>
      <c r="H8" s="8">
        <v>4</v>
      </c>
      <c r="I8" s="8">
        <v>1</v>
      </c>
      <c r="J8" s="8">
        <v>25208</v>
      </c>
      <c r="K8" s="8">
        <v>3791</v>
      </c>
      <c r="L8" s="8">
        <v>67</v>
      </c>
      <c r="M8" s="8">
        <v>78</v>
      </c>
      <c r="N8" s="8">
        <v>28745</v>
      </c>
      <c r="O8" s="8">
        <v>1499</v>
      </c>
      <c r="P8">
        <f t="shared" si="7"/>
        <v>88.844068244941141</v>
      </c>
      <c r="Q8">
        <f t="shared" si="8"/>
        <v>6.6757042719217035</v>
      </c>
      <c r="R8">
        <f t="shared" si="9"/>
        <v>2.2582991667768813</v>
      </c>
      <c r="S8">
        <f t="shared" si="10"/>
        <v>0.63483666181721998</v>
      </c>
      <c r="T8">
        <f t="shared" si="11"/>
        <v>1.5705594498082265</v>
      </c>
      <c r="U8">
        <f t="shared" si="12"/>
        <v>83.348763391085839</v>
      </c>
      <c r="V8">
        <f t="shared" si="13"/>
        <v>12.534717629943129</v>
      </c>
      <c r="W8">
        <f t="shared" si="14"/>
        <v>0.22153154344663403</v>
      </c>
      <c r="X8">
        <f t="shared" si="15"/>
        <v>0.25790239386324559</v>
      </c>
      <c r="Y8">
        <f t="shared" si="16"/>
        <v>95.043645020499937</v>
      </c>
      <c r="Z8">
        <f t="shared" si="17"/>
        <v>4.9563549795000661</v>
      </c>
      <c r="AA8">
        <f t="shared" si="20"/>
        <v>2.0315169925954053</v>
      </c>
      <c r="AB8">
        <f t="shared" si="21"/>
        <v>4.072164948453608</v>
      </c>
      <c r="AC8">
        <f t="shared" si="18"/>
        <v>-0.43731778425655976</v>
      </c>
      <c r="AD8">
        <f t="shared" si="18"/>
        <v>1.5873015873015872</v>
      </c>
      <c r="AE8">
        <f t="shared" si="18"/>
        <v>3.4858387799564272</v>
      </c>
      <c r="AF8">
        <f t="shared" si="22"/>
        <v>2.1186955641077576</v>
      </c>
      <c r="AG8">
        <f t="shared" si="23"/>
        <v>2.6536691037097211</v>
      </c>
      <c r="AH8">
        <f t="shared" si="24"/>
        <v>-1.4705882352941178</v>
      </c>
      <c r="AI8">
        <f t="shared" si="25"/>
        <v>2.6315789473684212</v>
      </c>
      <c r="AJ8">
        <f t="shared" si="26"/>
        <v>2.0556699566853651</v>
      </c>
      <c r="AK8">
        <f t="shared" si="26"/>
        <v>3.5220994475138121</v>
      </c>
      <c r="AL8">
        <f t="shared" si="27"/>
        <v>2.1273721888296078</v>
      </c>
    </row>
    <row r="9" spans="1:38" ht="18" x14ac:dyDescent="0.2">
      <c r="A9" s="7">
        <v>2006</v>
      </c>
      <c r="B9" s="8">
        <v>31018</v>
      </c>
      <c r="C9" s="8">
        <v>27512</v>
      </c>
      <c r="D9" s="8">
        <v>2145</v>
      </c>
      <c r="E9" s="8">
        <v>687</v>
      </c>
      <c r="F9" s="8">
        <v>191</v>
      </c>
      <c r="G9" s="8">
        <v>478</v>
      </c>
      <c r="H9" s="8">
        <v>4</v>
      </c>
      <c r="I9" s="8">
        <v>1</v>
      </c>
      <c r="J9" s="8">
        <v>25824</v>
      </c>
      <c r="K9" s="8">
        <v>3945</v>
      </c>
      <c r="L9" s="8">
        <v>58</v>
      </c>
      <c r="M9" s="8">
        <v>81</v>
      </c>
      <c r="N9" s="8">
        <v>29422</v>
      </c>
      <c r="O9" s="8">
        <v>1596</v>
      </c>
      <c r="P9">
        <f t="shared" si="7"/>
        <v>88.696885679283</v>
      </c>
      <c r="Q9">
        <f t="shared" si="8"/>
        <v>6.9153394803017605</v>
      </c>
      <c r="R9">
        <f t="shared" si="9"/>
        <v>2.214842994390354</v>
      </c>
      <c r="S9">
        <f t="shared" si="10"/>
        <v>0.61577148752337352</v>
      </c>
      <c r="T9">
        <f t="shared" si="11"/>
        <v>1.5410406860532595</v>
      </c>
      <c r="U9">
        <f t="shared" si="12"/>
        <v>83.254884260751822</v>
      </c>
      <c r="V9">
        <f t="shared" si="13"/>
        <v>12.718421561673868</v>
      </c>
      <c r="W9">
        <f t="shared" si="14"/>
        <v>0.18698820039976788</v>
      </c>
      <c r="X9">
        <f t="shared" si="15"/>
        <v>0.2611386936617448</v>
      </c>
      <c r="Y9">
        <f t="shared" si="16"/>
        <v>94.854600554516736</v>
      </c>
      <c r="Z9">
        <f t="shared" si="17"/>
        <v>5.1453994454832674</v>
      </c>
      <c r="AA9">
        <f t="shared" si="20"/>
        <v>2.3892817268328992</v>
      </c>
      <c r="AB9">
        <f t="shared" si="21"/>
        <v>6.2407132243684993</v>
      </c>
      <c r="AC9">
        <f t="shared" si="18"/>
        <v>0.58565153733528552</v>
      </c>
      <c r="AD9">
        <f t="shared" si="18"/>
        <v>-0.52083333333333337</v>
      </c>
      <c r="AE9">
        <f t="shared" si="18"/>
        <v>0.63157894736842102</v>
      </c>
      <c r="AF9">
        <f t="shared" si="22"/>
        <v>2.4436686766105997</v>
      </c>
      <c r="AG9">
        <f t="shared" si="23"/>
        <v>4.0622527037720921</v>
      </c>
      <c r="AH9">
        <f t="shared" si="24"/>
        <v>-13.432835820895523</v>
      </c>
      <c r="AI9">
        <f t="shared" si="25"/>
        <v>3.8461538461538463</v>
      </c>
      <c r="AJ9">
        <f t="shared" si="26"/>
        <v>2.3551922073404072</v>
      </c>
      <c r="AK9">
        <f t="shared" si="26"/>
        <v>6.4709806537691792</v>
      </c>
      <c r="AL9">
        <f t="shared" si="27"/>
        <v>2.559185292950668</v>
      </c>
    </row>
    <row r="10" spans="1:38" ht="18" x14ac:dyDescent="0.2">
      <c r="A10" s="7">
        <v>2007</v>
      </c>
      <c r="B10" s="8">
        <v>31886</v>
      </c>
      <c r="C10" s="8">
        <v>28195</v>
      </c>
      <c r="D10" s="8">
        <v>2317</v>
      </c>
      <c r="E10" s="8">
        <v>695</v>
      </c>
      <c r="F10" s="8">
        <v>192</v>
      </c>
      <c r="G10" s="8">
        <v>481</v>
      </c>
      <c r="H10" s="8">
        <v>5</v>
      </c>
      <c r="I10" s="8">
        <v>1</v>
      </c>
      <c r="J10" s="8">
        <v>26531</v>
      </c>
      <c r="K10" s="8">
        <v>4098</v>
      </c>
      <c r="L10" s="8">
        <v>58</v>
      </c>
      <c r="M10" s="8">
        <v>81</v>
      </c>
      <c r="N10" s="8">
        <v>30223</v>
      </c>
      <c r="O10" s="8">
        <v>1663</v>
      </c>
      <c r="P10">
        <f t="shared" si="7"/>
        <v>88.424386878253785</v>
      </c>
      <c r="Q10">
        <f t="shared" si="8"/>
        <v>7.266511948817663</v>
      </c>
      <c r="R10">
        <f t="shared" si="9"/>
        <v>2.1796399673838049</v>
      </c>
      <c r="S10">
        <f t="shared" si="10"/>
        <v>0.60214514206861947</v>
      </c>
      <c r="T10">
        <f t="shared" si="11"/>
        <v>1.5084990277864894</v>
      </c>
      <c r="U10">
        <f t="shared" si="12"/>
        <v>83.205795646992414</v>
      </c>
      <c r="V10">
        <f t="shared" si="13"/>
        <v>12.852035376027096</v>
      </c>
      <c r="W10">
        <f t="shared" si="14"/>
        <v>0.18189801166656214</v>
      </c>
      <c r="X10">
        <f t="shared" si="15"/>
        <v>0.25402998181019881</v>
      </c>
      <c r="Y10">
        <f t="shared" si="16"/>
        <v>94.784544941353573</v>
      </c>
      <c r="Z10">
        <f t="shared" si="17"/>
        <v>5.2154550586464277</v>
      </c>
      <c r="AA10">
        <f t="shared" si="20"/>
        <v>2.4825530677522534</v>
      </c>
      <c r="AB10">
        <f t="shared" si="21"/>
        <v>8.0186480186480189</v>
      </c>
      <c r="AC10">
        <f t="shared" si="18"/>
        <v>1.1644832605531295</v>
      </c>
      <c r="AD10">
        <f t="shared" si="18"/>
        <v>0.52356020942408377</v>
      </c>
      <c r="AE10">
        <f t="shared" si="18"/>
        <v>0.62761506276150625</v>
      </c>
      <c r="AF10">
        <f t="shared" si="22"/>
        <v>2.7377633209417596</v>
      </c>
      <c r="AG10">
        <f t="shared" si="23"/>
        <v>3.8783269961977185</v>
      </c>
      <c r="AH10">
        <f t="shared" si="24"/>
        <v>0</v>
      </c>
      <c r="AI10">
        <f t="shared" si="25"/>
        <v>0</v>
      </c>
      <c r="AJ10">
        <f t="shared" si="26"/>
        <v>2.7224525864998981</v>
      </c>
      <c r="AK10">
        <f t="shared" si="26"/>
        <v>4.1979949874686717</v>
      </c>
      <c r="AL10">
        <f t="shared" si="27"/>
        <v>2.7983751370172159</v>
      </c>
    </row>
    <row r="11" spans="1:38" ht="18" x14ac:dyDescent="0.2">
      <c r="A11" s="7">
        <v>2008</v>
      </c>
      <c r="B11" s="8">
        <v>32933</v>
      </c>
      <c r="C11" s="8">
        <v>29043</v>
      </c>
      <c r="D11" s="8">
        <v>2504</v>
      </c>
      <c r="E11" s="8">
        <v>703</v>
      </c>
      <c r="F11" s="8">
        <v>191</v>
      </c>
      <c r="G11" s="8">
        <v>486</v>
      </c>
      <c r="H11" s="8">
        <v>5</v>
      </c>
      <c r="I11" s="8">
        <v>1</v>
      </c>
      <c r="J11" s="8">
        <v>27406</v>
      </c>
      <c r="K11" s="8">
        <v>4267</v>
      </c>
      <c r="L11" s="8">
        <v>60</v>
      </c>
      <c r="M11" s="8">
        <v>74</v>
      </c>
      <c r="N11" s="8">
        <v>31154</v>
      </c>
      <c r="O11" s="8">
        <v>1779</v>
      </c>
      <c r="P11">
        <f t="shared" si="7"/>
        <v>88.188139556068379</v>
      </c>
      <c r="Q11">
        <f t="shared" si="8"/>
        <v>7.603315823034646</v>
      </c>
      <c r="R11">
        <f t="shared" si="9"/>
        <v>2.1346369902529378</v>
      </c>
      <c r="S11">
        <f t="shared" si="10"/>
        <v>0.57996538426502298</v>
      </c>
      <c r="T11">
        <f t="shared" si="11"/>
        <v>1.4757234384963411</v>
      </c>
      <c r="U11">
        <f t="shared" si="12"/>
        <v>83.21744147207967</v>
      </c>
      <c r="V11">
        <f t="shared" si="13"/>
        <v>12.956608872559439</v>
      </c>
      <c r="W11">
        <f t="shared" si="14"/>
        <v>0.18218807882670876</v>
      </c>
      <c r="X11">
        <f t="shared" si="15"/>
        <v>0.22469863055294081</v>
      </c>
      <c r="Y11">
        <f t="shared" si="16"/>
        <v>94.598123462788081</v>
      </c>
      <c r="Z11">
        <f t="shared" si="17"/>
        <v>5.4018765372119155</v>
      </c>
      <c r="AA11">
        <f t="shared" si="20"/>
        <v>3.007625465508069</v>
      </c>
      <c r="AB11">
        <f t="shared" si="21"/>
        <v>8.0707811825636604</v>
      </c>
      <c r="AC11">
        <f t="shared" si="18"/>
        <v>1.1510791366906474</v>
      </c>
      <c r="AD11">
        <f t="shared" si="18"/>
        <v>-0.52083333333333337</v>
      </c>
      <c r="AE11">
        <f t="shared" si="18"/>
        <v>1.0395010395010396</v>
      </c>
      <c r="AF11">
        <f t="shared" si="22"/>
        <v>3.2980287211186914</v>
      </c>
      <c r="AG11">
        <f t="shared" si="23"/>
        <v>4.1239629087359688</v>
      </c>
      <c r="AH11">
        <f t="shared" si="24"/>
        <v>3.4482758620689653</v>
      </c>
      <c r="AI11">
        <f t="shared" si="25"/>
        <v>-8.6419753086419746</v>
      </c>
      <c r="AJ11">
        <f t="shared" si="26"/>
        <v>3.0804354299705521</v>
      </c>
      <c r="AK11">
        <f t="shared" si="26"/>
        <v>6.9753457606734814</v>
      </c>
      <c r="AL11">
        <f t="shared" si="27"/>
        <v>3.2835727278429405</v>
      </c>
    </row>
    <row r="12" spans="1:38" ht="18" x14ac:dyDescent="0.2">
      <c r="A12" s="7">
        <v>2009</v>
      </c>
      <c r="B12" s="8">
        <v>33533</v>
      </c>
      <c r="C12" s="8">
        <v>29567</v>
      </c>
      <c r="D12" s="8">
        <v>2576</v>
      </c>
      <c r="E12" s="8">
        <v>715</v>
      </c>
      <c r="F12" s="8">
        <v>190</v>
      </c>
      <c r="G12" s="8">
        <v>479</v>
      </c>
      <c r="H12" s="8">
        <v>5</v>
      </c>
      <c r="I12" s="8">
        <v>1</v>
      </c>
      <c r="J12" s="8">
        <v>27930</v>
      </c>
      <c r="K12" s="8">
        <v>4353</v>
      </c>
      <c r="L12" s="8">
        <v>58</v>
      </c>
      <c r="M12" s="8">
        <v>69</v>
      </c>
      <c r="N12" s="8">
        <v>31709</v>
      </c>
      <c r="O12" s="8">
        <v>1824</v>
      </c>
      <c r="P12">
        <f t="shared" si="7"/>
        <v>88.172844660483705</v>
      </c>
      <c r="Q12">
        <f t="shared" si="8"/>
        <v>7.6819849103867828</v>
      </c>
      <c r="R12">
        <f t="shared" si="9"/>
        <v>2.1322279545522322</v>
      </c>
      <c r="S12">
        <f t="shared" si="10"/>
        <v>0.56660602988101272</v>
      </c>
      <c r="T12">
        <f t="shared" si="11"/>
        <v>1.4284436227000268</v>
      </c>
      <c r="U12">
        <f t="shared" si="12"/>
        <v>83.291086392508873</v>
      </c>
      <c r="V12">
        <f t="shared" si="13"/>
        <v>12.981242358273938</v>
      </c>
      <c r="W12">
        <f t="shared" si="14"/>
        <v>0.17296394596367756</v>
      </c>
      <c r="X12">
        <f t="shared" si="15"/>
        <v>0.20576745295678883</v>
      </c>
      <c r="Y12">
        <f t="shared" si="16"/>
        <v>94.560582113142274</v>
      </c>
      <c r="Z12">
        <f t="shared" si="17"/>
        <v>5.4394178868577221</v>
      </c>
      <c r="AA12">
        <f t="shared" si="20"/>
        <v>1.8042213269978997</v>
      </c>
      <c r="AB12">
        <f t="shared" si="21"/>
        <v>2.8753993610223643</v>
      </c>
      <c r="AC12">
        <f t="shared" si="18"/>
        <v>1.7069701280227596</v>
      </c>
      <c r="AD12">
        <f t="shared" si="18"/>
        <v>-0.52356020942408377</v>
      </c>
      <c r="AE12">
        <f t="shared" si="18"/>
        <v>-1.440329218106996</v>
      </c>
      <c r="AF12">
        <f t="shared" si="22"/>
        <v>1.9119900751660219</v>
      </c>
      <c r="AG12">
        <f t="shared" si="23"/>
        <v>2.0154675415983125</v>
      </c>
      <c r="AH12">
        <f t="shared" si="24"/>
        <v>-3.3333333333333335</v>
      </c>
      <c r="AI12">
        <f t="shared" si="25"/>
        <v>-6.756756756756757</v>
      </c>
      <c r="AJ12">
        <f t="shared" si="26"/>
        <v>1.7814726840855106</v>
      </c>
      <c r="AK12">
        <f t="shared" si="26"/>
        <v>2.5295109612141653</v>
      </c>
      <c r="AL12">
        <f t="shared" si="27"/>
        <v>1.8218807882670878</v>
      </c>
    </row>
    <row r="13" spans="1:38" ht="18" x14ac:dyDescent="0.2">
      <c r="A13" s="7">
        <v>2010</v>
      </c>
      <c r="B13" s="8">
        <v>34175</v>
      </c>
      <c r="C13" s="8">
        <v>30118</v>
      </c>
      <c r="D13" s="8">
        <v>2658</v>
      </c>
      <c r="E13" s="8">
        <v>713</v>
      </c>
      <c r="F13" s="8">
        <v>194</v>
      </c>
      <c r="G13" s="8">
        <v>486</v>
      </c>
      <c r="H13" s="8">
        <v>5</v>
      </c>
      <c r="I13" s="8">
        <v>1</v>
      </c>
      <c r="J13" s="8">
        <v>28479</v>
      </c>
      <c r="K13" s="8">
        <v>4441</v>
      </c>
      <c r="L13" s="8">
        <v>55</v>
      </c>
      <c r="M13" s="8">
        <v>71</v>
      </c>
      <c r="N13" s="8">
        <v>32330</v>
      </c>
      <c r="O13" s="8">
        <v>1845</v>
      </c>
      <c r="P13">
        <f t="shared" si="7"/>
        <v>88.128749085588879</v>
      </c>
      <c r="Q13">
        <f t="shared" si="8"/>
        <v>7.7776152158010241</v>
      </c>
      <c r="R13">
        <f t="shared" si="9"/>
        <v>2.0863204096561816</v>
      </c>
      <c r="S13">
        <f t="shared" si="10"/>
        <v>0.5676664228237015</v>
      </c>
      <c r="T13">
        <f t="shared" si="11"/>
        <v>1.4220921726408193</v>
      </c>
      <c r="U13">
        <f t="shared" si="12"/>
        <v>83.332845647403076</v>
      </c>
      <c r="V13">
        <f t="shared" si="13"/>
        <v>12.994879297732261</v>
      </c>
      <c r="W13">
        <f t="shared" si="14"/>
        <v>0.16093635698610095</v>
      </c>
      <c r="X13">
        <f t="shared" si="15"/>
        <v>0.20775420629114849</v>
      </c>
      <c r="Y13">
        <f t="shared" si="16"/>
        <v>94.601316752011698</v>
      </c>
      <c r="Z13">
        <f t="shared" si="17"/>
        <v>5.3986832479882958</v>
      </c>
      <c r="AA13">
        <f t="shared" si="20"/>
        <v>1.8635641086346264</v>
      </c>
      <c r="AB13">
        <f t="shared" si="21"/>
        <v>3.1832298136645965</v>
      </c>
      <c r="AC13">
        <f t="shared" si="18"/>
        <v>-0.27972027972027974</v>
      </c>
      <c r="AD13">
        <f t="shared" si="18"/>
        <v>2.1052631578947367</v>
      </c>
      <c r="AE13">
        <f t="shared" si="18"/>
        <v>1.4613778705636744</v>
      </c>
      <c r="AF13">
        <f t="shared" si="22"/>
        <v>1.9656283566058002</v>
      </c>
      <c r="AG13">
        <f t="shared" si="23"/>
        <v>2.0215943027796923</v>
      </c>
      <c r="AH13">
        <f t="shared" si="24"/>
        <v>-5.1724137931034484</v>
      </c>
      <c r="AI13">
        <f t="shared" si="25"/>
        <v>2.8985507246376812</v>
      </c>
      <c r="AJ13">
        <f t="shared" si="26"/>
        <v>1.9584345138604182</v>
      </c>
      <c r="AK13">
        <f t="shared" si="26"/>
        <v>1.1513157894736843</v>
      </c>
      <c r="AL13">
        <f t="shared" si="27"/>
        <v>1.9145319535979484</v>
      </c>
    </row>
    <row r="14" spans="1:38" ht="18" x14ac:dyDescent="0.2">
      <c r="A14" s="7">
        <v>2011</v>
      </c>
      <c r="B14" s="8">
        <v>34947</v>
      </c>
      <c r="C14" s="8">
        <v>30805</v>
      </c>
      <c r="D14" s="8">
        <v>2728</v>
      </c>
      <c r="E14" s="8">
        <v>720</v>
      </c>
      <c r="F14" s="8">
        <v>198</v>
      </c>
      <c r="G14" s="8">
        <v>490</v>
      </c>
      <c r="H14" s="8">
        <v>5</v>
      </c>
      <c r="I14" s="8">
        <v>1</v>
      </c>
      <c r="J14" s="8">
        <v>29079</v>
      </c>
      <c r="K14" s="8">
        <v>4593</v>
      </c>
      <c r="L14" s="8">
        <v>55</v>
      </c>
      <c r="M14" s="8">
        <v>77</v>
      </c>
      <c r="N14" s="8">
        <v>32986</v>
      </c>
      <c r="O14" s="8">
        <v>1961</v>
      </c>
      <c r="P14">
        <f t="shared" si="7"/>
        <v>88.147766618021578</v>
      </c>
      <c r="Q14">
        <f t="shared" si="8"/>
        <v>7.8061063896757945</v>
      </c>
      <c r="R14">
        <f t="shared" si="9"/>
        <v>2.0602626834921454</v>
      </c>
      <c r="S14">
        <f t="shared" si="10"/>
        <v>0.56657223796033995</v>
      </c>
      <c r="T14">
        <f t="shared" si="11"/>
        <v>1.4021232151543765</v>
      </c>
      <c r="U14">
        <f t="shared" si="12"/>
        <v>83.208859129539022</v>
      </c>
      <c r="V14">
        <f t="shared" si="13"/>
        <v>13.142759035110309</v>
      </c>
      <c r="W14">
        <f t="shared" si="14"/>
        <v>0.15738117721120554</v>
      </c>
      <c r="X14">
        <f t="shared" si="15"/>
        <v>0.22033364809568776</v>
      </c>
      <c r="Y14">
        <f t="shared" si="16"/>
        <v>94.388645663433195</v>
      </c>
      <c r="Z14">
        <f t="shared" si="17"/>
        <v>5.6113543365668015</v>
      </c>
      <c r="AA14">
        <f t="shared" si="20"/>
        <v>2.2810279567036322</v>
      </c>
      <c r="AB14">
        <f t="shared" si="21"/>
        <v>2.6335590669676447</v>
      </c>
      <c r="AC14">
        <f t="shared" si="18"/>
        <v>0.98176718092566617</v>
      </c>
      <c r="AD14">
        <f t="shared" si="18"/>
        <v>2.0618556701030926</v>
      </c>
      <c r="AE14">
        <f t="shared" si="18"/>
        <v>0.82304526748971196</v>
      </c>
      <c r="AF14">
        <f t="shared" si="22"/>
        <v>2.1068155482987465</v>
      </c>
      <c r="AG14">
        <f t="shared" si="23"/>
        <v>3.4226525557306915</v>
      </c>
      <c r="AH14">
        <f t="shared" si="24"/>
        <v>0</v>
      </c>
      <c r="AI14">
        <f t="shared" si="25"/>
        <v>8.4507042253521121</v>
      </c>
      <c r="AJ14">
        <f t="shared" si="26"/>
        <v>2.0290751623878749</v>
      </c>
      <c r="AK14">
        <f t="shared" si="26"/>
        <v>6.2872628726287259</v>
      </c>
      <c r="AL14">
        <f t="shared" si="27"/>
        <v>2.2589612289685443</v>
      </c>
    </row>
    <row r="15" spans="1:38" ht="18" x14ac:dyDescent="0.2">
      <c r="A15" s="7">
        <v>2012</v>
      </c>
      <c r="B15" s="8">
        <v>35540</v>
      </c>
      <c r="C15" s="8">
        <v>31341</v>
      </c>
      <c r="D15" s="8">
        <v>2776</v>
      </c>
      <c r="E15" s="8">
        <v>722</v>
      </c>
      <c r="F15" s="8">
        <v>195</v>
      </c>
      <c r="G15" s="8">
        <v>500</v>
      </c>
      <c r="H15" s="8">
        <v>5</v>
      </c>
      <c r="I15" s="8">
        <v>1</v>
      </c>
      <c r="J15" s="8">
        <v>29623</v>
      </c>
      <c r="K15" s="8">
        <v>4629</v>
      </c>
      <c r="L15" s="8">
        <v>53</v>
      </c>
      <c r="M15" s="8">
        <v>80</v>
      </c>
      <c r="N15" s="8">
        <v>33563</v>
      </c>
      <c r="O15" s="8">
        <v>1977</v>
      </c>
      <c r="P15">
        <f t="shared" si="7"/>
        <v>88.18514350028137</v>
      </c>
      <c r="Q15">
        <f t="shared" si="8"/>
        <v>7.8109172763083849</v>
      </c>
      <c r="R15">
        <f t="shared" si="9"/>
        <v>2.031513787281936</v>
      </c>
      <c r="S15">
        <f t="shared" si="10"/>
        <v>0.54867754642656164</v>
      </c>
      <c r="T15">
        <f t="shared" si="11"/>
        <v>1.4068655036578503</v>
      </c>
      <c r="U15">
        <f t="shared" si="12"/>
        <v>83.351153629712996</v>
      </c>
      <c r="V15">
        <f t="shared" si="13"/>
        <v>13.024760832864379</v>
      </c>
      <c r="W15">
        <f t="shared" si="14"/>
        <v>0.14912774338773213</v>
      </c>
      <c r="X15">
        <f t="shared" si="15"/>
        <v>0.22509848058525606</v>
      </c>
      <c r="Y15">
        <f t="shared" si="16"/>
        <v>94.437253798536858</v>
      </c>
      <c r="Z15">
        <f t="shared" si="17"/>
        <v>5.5627462014631401</v>
      </c>
      <c r="AA15">
        <f t="shared" si="20"/>
        <v>1.7399772764161663</v>
      </c>
      <c r="AB15">
        <f t="shared" si="21"/>
        <v>1.7595307917888563</v>
      </c>
      <c r="AC15">
        <f t="shared" si="18"/>
        <v>0.27777777777777779</v>
      </c>
      <c r="AD15">
        <f t="shared" si="18"/>
        <v>-1.5151515151515151</v>
      </c>
      <c r="AE15">
        <f t="shared" si="18"/>
        <v>2.0408163265306123</v>
      </c>
      <c r="AF15">
        <f t="shared" si="22"/>
        <v>1.8707658447677018</v>
      </c>
      <c r="AG15">
        <f t="shared" si="23"/>
        <v>0.78380143696930116</v>
      </c>
      <c r="AH15">
        <f t="shared" si="24"/>
        <v>-3.6363636363636362</v>
      </c>
      <c r="AI15">
        <f t="shared" si="25"/>
        <v>3.8961038961038961</v>
      </c>
      <c r="AJ15">
        <f t="shared" si="26"/>
        <v>1.7492269447644455</v>
      </c>
      <c r="AK15">
        <f t="shared" si="26"/>
        <v>0.81591024987251404</v>
      </c>
      <c r="AL15">
        <f t="shared" si="27"/>
        <v>1.6968552379317252</v>
      </c>
    </row>
    <row r="16" spans="1:38" ht="18" x14ac:dyDescent="0.2">
      <c r="A16" s="7">
        <v>2013</v>
      </c>
      <c r="B16" s="8">
        <v>36078</v>
      </c>
      <c r="C16" s="8">
        <v>31780</v>
      </c>
      <c r="D16" s="8">
        <v>2849</v>
      </c>
      <c r="E16" s="8">
        <v>726</v>
      </c>
      <c r="F16" s="8">
        <v>206</v>
      </c>
      <c r="G16" s="8">
        <v>511</v>
      </c>
      <c r="H16" s="8">
        <v>5</v>
      </c>
      <c r="I16" s="8">
        <v>1</v>
      </c>
      <c r="J16" s="8">
        <v>30066</v>
      </c>
      <c r="K16" s="8">
        <v>4560</v>
      </c>
      <c r="L16" s="8">
        <v>55</v>
      </c>
      <c r="M16" s="8">
        <v>78</v>
      </c>
      <c r="N16" s="8">
        <v>34050</v>
      </c>
      <c r="O16" s="8">
        <v>2028</v>
      </c>
      <c r="P16">
        <f t="shared" si="7"/>
        <v>88.086922778424523</v>
      </c>
      <c r="Q16">
        <f t="shared" si="8"/>
        <v>7.8967792006208768</v>
      </c>
      <c r="R16">
        <f t="shared" si="9"/>
        <v>2.0123066688840843</v>
      </c>
      <c r="S16">
        <f t="shared" si="10"/>
        <v>0.57098508786518098</v>
      </c>
      <c r="T16">
        <f t="shared" si="11"/>
        <v>1.4163756305781916</v>
      </c>
      <c r="U16">
        <f t="shared" si="12"/>
        <v>83.336105105604517</v>
      </c>
      <c r="V16">
        <f t="shared" si="13"/>
        <v>12.639281556627308</v>
      </c>
      <c r="W16">
        <f t="shared" si="14"/>
        <v>0.15244747491546096</v>
      </c>
      <c r="X16">
        <f t="shared" si="15"/>
        <v>0.21619823715283551</v>
      </c>
      <c r="Y16">
        <f t="shared" si="16"/>
        <v>94.378845834026279</v>
      </c>
      <c r="Z16">
        <f t="shared" si="17"/>
        <v>5.6211541659737234</v>
      </c>
      <c r="AA16">
        <f t="shared" si="20"/>
        <v>1.4007211001563447</v>
      </c>
      <c r="AB16">
        <f t="shared" si="21"/>
        <v>2.6296829971181555</v>
      </c>
      <c r="AC16">
        <f t="shared" si="18"/>
        <v>0.554016620498615</v>
      </c>
      <c r="AD16">
        <f t="shared" si="18"/>
        <v>5.6410256410256414</v>
      </c>
      <c r="AE16">
        <f t="shared" si="18"/>
        <v>2.2000000000000002</v>
      </c>
      <c r="AF16">
        <f t="shared" si="22"/>
        <v>1.4954596090875334</v>
      </c>
      <c r="AG16">
        <f t="shared" si="23"/>
        <v>-1.4906027219701878</v>
      </c>
      <c r="AH16">
        <f t="shared" si="24"/>
        <v>3.7735849056603774</v>
      </c>
      <c r="AI16">
        <f t="shared" si="25"/>
        <v>-2.5</v>
      </c>
      <c r="AJ16">
        <f t="shared" si="26"/>
        <v>1.4510025921401544</v>
      </c>
      <c r="AK16">
        <f t="shared" si="26"/>
        <v>2.5796661608497722</v>
      </c>
      <c r="AL16">
        <f t="shared" si="27"/>
        <v>1.5137872819358469</v>
      </c>
    </row>
    <row r="17" spans="1:38" ht="18" x14ac:dyDescent="0.2">
      <c r="A17" s="7">
        <v>2014</v>
      </c>
      <c r="B17" s="8">
        <v>36374</v>
      </c>
      <c r="C17" s="8">
        <v>32045</v>
      </c>
      <c r="D17" s="8">
        <v>2871</v>
      </c>
      <c r="E17" s="8">
        <v>725</v>
      </c>
      <c r="F17" s="8">
        <v>214</v>
      </c>
      <c r="G17" s="8">
        <v>517</v>
      </c>
      <c r="H17" s="8">
        <v>1</v>
      </c>
      <c r="I17" s="8">
        <v>1</v>
      </c>
      <c r="J17" s="8">
        <v>30313</v>
      </c>
      <c r="K17" s="8">
        <v>4758</v>
      </c>
      <c r="L17" s="8">
        <v>53</v>
      </c>
      <c r="M17" s="8">
        <v>77</v>
      </c>
      <c r="N17" s="8">
        <v>34310</v>
      </c>
      <c r="O17" s="8">
        <v>2064</v>
      </c>
      <c r="P17">
        <f t="shared" si="7"/>
        <v>88.098641887062186</v>
      </c>
      <c r="Q17">
        <f t="shared" si="8"/>
        <v>7.8930004948589652</v>
      </c>
      <c r="R17">
        <f t="shared" si="9"/>
        <v>1.9931819431462032</v>
      </c>
      <c r="S17">
        <f t="shared" si="10"/>
        <v>0.58833232528729307</v>
      </c>
      <c r="T17">
        <f t="shared" si="11"/>
        <v>1.4213449166987409</v>
      </c>
      <c r="U17">
        <f t="shared" si="12"/>
        <v>83.336998955297744</v>
      </c>
      <c r="V17">
        <f t="shared" si="13"/>
        <v>13.080771979985704</v>
      </c>
      <c r="W17">
        <f t="shared" si="14"/>
        <v>0.14570847308517074</v>
      </c>
      <c r="X17">
        <f t="shared" si="15"/>
        <v>0.21168966844449333</v>
      </c>
      <c r="Y17">
        <f t="shared" si="16"/>
        <v>94.325617199098261</v>
      </c>
      <c r="Z17">
        <f t="shared" si="17"/>
        <v>5.6743828009017427</v>
      </c>
      <c r="AA17">
        <f t="shared" si="20"/>
        <v>0.83385777218376333</v>
      </c>
      <c r="AB17">
        <f t="shared" si="21"/>
        <v>0.77220077220077221</v>
      </c>
      <c r="AC17">
        <f t="shared" si="18"/>
        <v>-0.13774104683195593</v>
      </c>
      <c r="AD17">
        <f t="shared" si="18"/>
        <v>3.883495145631068</v>
      </c>
      <c r="AE17">
        <f t="shared" si="18"/>
        <v>1.1741682974559686</v>
      </c>
      <c r="AF17">
        <f t="shared" si="22"/>
        <v>0.82152597618572476</v>
      </c>
      <c r="AG17">
        <f t="shared" si="23"/>
        <v>4.3421052631578947</v>
      </c>
      <c r="AH17">
        <f t="shared" si="24"/>
        <v>-3.6363636363636362</v>
      </c>
      <c r="AI17">
        <f t="shared" si="25"/>
        <v>-1.2820512820512822</v>
      </c>
      <c r="AJ17">
        <f t="shared" si="26"/>
        <v>0.76358296622613808</v>
      </c>
      <c r="AK17">
        <f t="shared" si="26"/>
        <v>1.7751479289940828</v>
      </c>
      <c r="AL17">
        <f t="shared" si="27"/>
        <v>0.82044459227229893</v>
      </c>
    </row>
    <row r="18" spans="1:38" ht="18" x14ac:dyDescent="0.2">
      <c r="A18" s="7">
        <v>2015</v>
      </c>
      <c r="B18" s="8">
        <v>36440</v>
      </c>
      <c r="C18" s="8">
        <v>32127</v>
      </c>
      <c r="D18" s="8">
        <v>2853</v>
      </c>
      <c r="E18" s="8">
        <v>721</v>
      </c>
      <c r="F18" s="8">
        <v>222</v>
      </c>
      <c r="G18" s="8">
        <v>516</v>
      </c>
      <c r="H18" s="8">
        <v>0</v>
      </c>
      <c r="I18" s="8">
        <v>1</v>
      </c>
      <c r="J18" s="8">
        <v>30370</v>
      </c>
      <c r="K18" s="8">
        <v>4777</v>
      </c>
      <c r="L18" s="8">
        <v>47</v>
      </c>
      <c r="M18" s="8">
        <v>78</v>
      </c>
      <c r="N18" s="8">
        <v>34359</v>
      </c>
      <c r="O18" s="8">
        <v>2081</v>
      </c>
      <c r="P18">
        <f t="shared" si="7"/>
        <v>88.164105378704718</v>
      </c>
      <c r="Q18">
        <f t="shared" si="8"/>
        <v>7.8293084522502747</v>
      </c>
      <c r="R18">
        <f t="shared" si="9"/>
        <v>1.9785949506037321</v>
      </c>
      <c r="S18">
        <f t="shared" si="10"/>
        <v>0.60922063666300763</v>
      </c>
      <c r="T18">
        <f t="shared" si="11"/>
        <v>1.41602634467618</v>
      </c>
      <c r="U18">
        <f t="shared" si="12"/>
        <v>83.342480790340289</v>
      </c>
      <c r="V18">
        <f t="shared" si="13"/>
        <v>13.109220636663007</v>
      </c>
      <c r="W18">
        <f t="shared" si="14"/>
        <v>0.12897914379802414</v>
      </c>
      <c r="X18">
        <f t="shared" si="15"/>
        <v>0.21405049396267836</v>
      </c>
      <c r="Y18">
        <f t="shared" si="16"/>
        <v>94.289242590559823</v>
      </c>
      <c r="Z18">
        <f t="shared" si="17"/>
        <v>5.7107574094401761</v>
      </c>
      <c r="AA18">
        <f t="shared" si="20"/>
        <v>0.25589015447027619</v>
      </c>
      <c r="AB18">
        <f t="shared" si="21"/>
        <v>-0.62695924764890287</v>
      </c>
      <c r="AC18">
        <f t="shared" si="18"/>
        <v>-0.55172413793103448</v>
      </c>
      <c r="AD18">
        <f t="shared" si="18"/>
        <v>3.7383177570093458</v>
      </c>
      <c r="AE18">
        <f t="shared" si="18"/>
        <v>-0.19342359767891681</v>
      </c>
      <c r="AF18">
        <f t="shared" si="22"/>
        <v>0.18803813545343581</v>
      </c>
      <c r="AG18">
        <f t="shared" si="23"/>
        <v>0.39932744850777635</v>
      </c>
      <c r="AH18">
        <f t="shared" si="24"/>
        <v>-11.320754716981131</v>
      </c>
      <c r="AI18">
        <f t="shared" si="25"/>
        <v>1.2987012987012987</v>
      </c>
      <c r="AJ18">
        <f t="shared" si="26"/>
        <v>0.1428155056834742</v>
      </c>
      <c r="AK18">
        <f t="shared" si="26"/>
        <v>0.8236434108527132</v>
      </c>
      <c r="AL18">
        <f t="shared" si="27"/>
        <v>0.18144828723813713</v>
      </c>
    </row>
    <row r="19" spans="1:38" ht="18" x14ac:dyDescent="0.2">
      <c r="A19" s="7">
        <v>2016</v>
      </c>
      <c r="B19" s="8">
        <v>36436</v>
      </c>
      <c r="C19" s="8">
        <v>32138</v>
      </c>
      <c r="D19" s="8">
        <v>2836</v>
      </c>
      <c r="E19" s="8">
        <v>717</v>
      </c>
      <c r="F19" s="8">
        <v>227</v>
      </c>
      <c r="G19" s="8">
        <v>517</v>
      </c>
      <c r="H19" s="8">
        <v>0</v>
      </c>
      <c r="I19" s="8">
        <v>1</v>
      </c>
      <c r="J19" s="8">
        <v>30419</v>
      </c>
      <c r="K19" s="8">
        <v>4725</v>
      </c>
      <c r="L19" s="8">
        <v>44</v>
      </c>
      <c r="M19" s="8">
        <v>79</v>
      </c>
      <c r="N19" s="8">
        <v>34355</v>
      </c>
      <c r="O19" s="8">
        <v>2081</v>
      </c>
      <c r="P19">
        <f t="shared" si="7"/>
        <v>88.203974091557797</v>
      </c>
      <c r="Q19">
        <f t="shared" si="8"/>
        <v>7.7835108134811728</v>
      </c>
      <c r="R19">
        <f t="shared" si="9"/>
        <v>1.9678340103194643</v>
      </c>
      <c r="S19">
        <f t="shared" si="10"/>
        <v>0.62301020968273135</v>
      </c>
      <c r="T19">
        <f t="shared" si="11"/>
        <v>1.4189263365901856</v>
      </c>
      <c r="U19">
        <f t="shared" si="12"/>
        <v>83.486112635854653</v>
      </c>
      <c r="V19">
        <f t="shared" si="13"/>
        <v>12.967943791854211</v>
      </c>
      <c r="W19">
        <f t="shared" si="14"/>
        <v>0.12075968822044132</v>
      </c>
      <c r="X19">
        <f t="shared" si="15"/>
        <v>0.21681853112306509</v>
      </c>
      <c r="Y19">
        <f t="shared" si="16"/>
        <v>94.288615654846851</v>
      </c>
      <c r="Z19">
        <f t="shared" si="17"/>
        <v>5.711384345153145</v>
      </c>
      <c r="AA19">
        <f t="shared" si="20"/>
        <v>3.4239113518224548E-2</v>
      </c>
      <c r="AB19">
        <f t="shared" si="21"/>
        <v>-0.59586400280406593</v>
      </c>
      <c r="AC19">
        <f t="shared" ref="AC19:AC28" si="28">100*(E19 - E18)/E18</f>
        <v>-0.55478502080443826</v>
      </c>
      <c r="AD19">
        <f t="shared" ref="AD19:AD28" si="29">100*(F19 - F18)/F18</f>
        <v>2.2522522522522523</v>
      </c>
      <c r="AE19">
        <f t="shared" ref="AE19:AE28" si="30">100*(G19 - G18)/G18</f>
        <v>0.19379844961240311</v>
      </c>
      <c r="AF19">
        <f t="shared" si="22"/>
        <v>0.16134343101745144</v>
      </c>
      <c r="AG19">
        <f t="shared" si="23"/>
        <v>-1.0885492987230478</v>
      </c>
      <c r="AH19">
        <f t="shared" si="24"/>
        <v>-6.3829787234042552</v>
      </c>
      <c r="AI19">
        <f t="shared" si="25"/>
        <v>1.2820512820512822</v>
      </c>
      <c r="AJ19">
        <f t="shared" si="26"/>
        <v>-1.1641782356878839E-2</v>
      </c>
      <c r="AK19">
        <f t="shared" si="26"/>
        <v>0</v>
      </c>
      <c r="AL19">
        <f t="shared" si="27"/>
        <v>-1.0976948408342482E-2</v>
      </c>
    </row>
    <row r="20" spans="1:38" ht="18" x14ac:dyDescent="0.2">
      <c r="A20" s="7">
        <v>2017</v>
      </c>
      <c r="B20" s="8">
        <v>36571</v>
      </c>
      <c r="C20" s="8">
        <v>32271</v>
      </c>
      <c r="D20" s="8">
        <v>2830</v>
      </c>
      <c r="E20" s="8">
        <v>719</v>
      </c>
      <c r="F20" s="8">
        <v>230</v>
      </c>
      <c r="G20" s="8">
        <v>520</v>
      </c>
      <c r="H20" s="8">
        <v>0</v>
      </c>
      <c r="I20" s="8">
        <v>1</v>
      </c>
      <c r="J20" s="8">
        <v>30539</v>
      </c>
      <c r="K20" s="8">
        <v>4737</v>
      </c>
      <c r="L20" s="8">
        <v>46</v>
      </c>
      <c r="M20" s="8">
        <v>77</v>
      </c>
      <c r="N20" s="8">
        <v>34457</v>
      </c>
      <c r="O20" s="8">
        <v>2114</v>
      </c>
      <c r="P20">
        <f t="shared" si="7"/>
        <v>88.242049711520053</v>
      </c>
      <c r="Q20">
        <f t="shared" si="8"/>
        <v>7.7383719340461017</v>
      </c>
      <c r="R20">
        <f t="shared" si="9"/>
        <v>1.9660386645155998</v>
      </c>
      <c r="S20">
        <f t="shared" si="10"/>
        <v>0.62891362008148533</v>
      </c>
      <c r="T20">
        <f t="shared" si="11"/>
        <v>1.4218916627929234</v>
      </c>
      <c r="U20">
        <f t="shared" si="12"/>
        <v>83.506056711602085</v>
      </c>
      <c r="V20">
        <f t="shared" si="13"/>
        <v>12.952886166634766</v>
      </c>
      <c r="W20">
        <f t="shared" si="14"/>
        <v>0.12578272401629706</v>
      </c>
      <c r="X20">
        <f t="shared" si="15"/>
        <v>0.21054934237510595</v>
      </c>
      <c r="Y20">
        <f t="shared" si="16"/>
        <v>94.219463509337999</v>
      </c>
      <c r="Z20">
        <f t="shared" si="17"/>
        <v>5.7805364906619996</v>
      </c>
      <c r="AA20">
        <f t="shared" si="20"/>
        <v>0.4138403136473956</v>
      </c>
      <c r="AB20">
        <f t="shared" si="21"/>
        <v>-0.21156558533145275</v>
      </c>
      <c r="AC20">
        <f t="shared" si="28"/>
        <v>0.2789400278940028</v>
      </c>
      <c r="AD20">
        <f t="shared" si="29"/>
        <v>1.3215859030837005</v>
      </c>
      <c r="AE20">
        <f t="shared" si="30"/>
        <v>0.58027079303675044</v>
      </c>
      <c r="AF20">
        <f t="shared" si="22"/>
        <v>0.39449028567671524</v>
      </c>
      <c r="AG20">
        <f t="shared" si="23"/>
        <v>0.25396825396825395</v>
      </c>
      <c r="AH20">
        <f t="shared" si="24"/>
        <v>4.5454545454545459</v>
      </c>
      <c r="AI20">
        <f t="shared" si="25"/>
        <v>-2.5316455696202533</v>
      </c>
      <c r="AJ20">
        <f t="shared" si="26"/>
        <v>0.29690001455392229</v>
      </c>
      <c r="AK20">
        <f t="shared" si="26"/>
        <v>1.5857760691975011</v>
      </c>
      <c r="AL20">
        <f t="shared" si="27"/>
        <v>0.37051267976726315</v>
      </c>
    </row>
    <row r="21" spans="1:38" ht="18" x14ac:dyDescent="0.2">
      <c r="A21" s="7">
        <v>2018</v>
      </c>
      <c r="B21" s="8">
        <v>36700</v>
      </c>
      <c r="C21" s="8">
        <v>32392</v>
      </c>
      <c r="D21" s="8">
        <v>2848</v>
      </c>
      <c r="E21" s="8">
        <v>717</v>
      </c>
      <c r="F21" s="8">
        <v>231</v>
      </c>
      <c r="G21" s="8">
        <v>511</v>
      </c>
      <c r="H21" s="8">
        <v>0</v>
      </c>
      <c r="I21" s="8">
        <v>1</v>
      </c>
      <c r="J21" s="8">
        <v>30684</v>
      </c>
      <c r="K21" s="8">
        <v>4743</v>
      </c>
      <c r="L21" s="8">
        <v>34</v>
      </c>
      <c r="M21" s="8">
        <v>77</v>
      </c>
      <c r="N21" s="8">
        <v>34577</v>
      </c>
      <c r="O21" s="8">
        <v>2123</v>
      </c>
      <c r="P21">
        <f t="shared" si="7"/>
        <v>88.26158038147139</v>
      </c>
      <c r="Q21">
        <f t="shared" si="8"/>
        <v>7.7602179836512262</v>
      </c>
      <c r="R21">
        <f t="shared" si="9"/>
        <v>1.9536784741144415</v>
      </c>
      <c r="S21">
        <f t="shared" si="10"/>
        <v>0.6294277929155313</v>
      </c>
      <c r="T21">
        <f t="shared" si="11"/>
        <v>1.3923705722070845</v>
      </c>
      <c r="U21">
        <f t="shared" si="12"/>
        <v>83.607629427792915</v>
      </c>
      <c r="V21">
        <f t="shared" si="13"/>
        <v>12.923705722070844</v>
      </c>
      <c r="W21">
        <f t="shared" si="14"/>
        <v>9.264305177111716E-2</v>
      </c>
      <c r="X21">
        <f t="shared" si="15"/>
        <v>0.2098092643051771</v>
      </c>
      <c r="Y21">
        <f t="shared" si="16"/>
        <v>94.21525885558583</v>
      </c>
      <c r="Z21">
        <f t="shared" si="17"/>
        <v>5.784741144414169</v>
      </c>
      <c r="AA21">
        <f t="shared" si="20"/>
        <v>0.37494964519227791</v>
      </c>
      <c r="AB21">
        <f t="shared" si="21"/>
        <v>0.63604240282685509</v>
      </c>
      <c r="AC21">
        <f t="shared" si="28"/>
        <v>-0.27816411682892905</v>
      </c>
      <c r="AD21">
        <f t="shared" si="29"/>
        <v>0.43478260869565216</v>
      </c>
      <c r="AE21">
        <f t="shared" si="30"/>
        <v>-1.7307692307692308</v>
      </c>
      <c r="AF21">
        <f t="shared" si="22"/>
        <v>0.47480271128720652</v>
      </c>
      <c r="AG21">
        <f t="shared" si="23"/>
        <v>0.1266624445851805</v>
      </c>
      <c r="AH21">
        <f t="shared" si="24"/>
        <v>-26.086956521739129</v>
      </c>
      <c r="AI21">
        <f t="shared" si="25"/>
        <v>0</v>
      </c>
      <c r="AJ21">
        <f t="shared" si="26"/>
        <v>0.34826015033229824</v>
      </c>
      <c r="AK21">
        <f t="shared" si="26"/>
        <v>0.42573320719016083</v>
      </c>
      <c r="AL21">
        <f t="shared" si="27"/>
        <v>0.35273850865439832</v>
      </c>
    </row>
    <row r="22" spans="1:38" ht="18" x14ac:dyDescent="0.2">
      <c r="A22" s="7">
        <v>2019</v>
      </c>
      <c r="B22" s="8">
        <v>36851</v>
      </c>
      <c r="C22" s="8">
        <v>32541</v>
      </c>
      <c r="D22" s="8">
        <v>2859</v>
      </c>
      <c r="E22" s="8">
        <v>715</v>
      </c>
      <c r="F22" s="8">
        <v>231</v>
      </c>
      <c r="G22" s="8">
        <v>504</v>
      </c>
      <c r="H22" s="8">
        <v>0</v>
      </c>
      <c r="I22" s="8">
        <v>1</v>
      </c>
      <c r="J22" s="8">
        <v>30788</v>
      </c>
      <c r="K22" s="8">
        <v>4800</v>
      </c>
      <c r="L22" s="8">
        <v>33</v>
      </c>
      <c r="M22" s="8">
        <v>75</v>
      </c>
      <c r="N22" s="8">
        <v>34651</v>
      </c>
      <c r="O22" s="8">
        <v>2200</v>
      </c>
      <c r="P22">
        <f t="shared" si="7"/>
        <v>88.304252259097453</v>
      </c>
      <c r="Q22">
        <f t="shared" si="8"/>
        <v>7.7582697891509049</v>
      </c>
      <c r="R22">
        <f t="shared" si="9"/>
        <v>1.94024585492931</v>
      </c>
      <c r="S22">
        <f t="shared" si="10"/>
        <v>0.62684866082331547</v>
      </c>
      <c r="T22">
        <f t="shared" si="11"/>
        <v>1.3676698054326883</v>
      </c>
      <c r="U22">
        <f t="shared" si="12"/>
        <v>83.547257876312713</v>
      </c>
      <c r="V22">
        <f t="shared" si="13"/>
        <v>13.025426718406557</v>
      </c>
      <c r="W22">
        <f t="shared" si="14"/>
        <v>8.954980868904508E-2</v>
      </c>
      <c r="X22">
        <f t="shared" si="15"/>
        <v>0.20352229247510245</v>
      </c>
      <c r="Y22">
        <f t="shared" si="16"/>
        <v>94.030012754063662</v>
      </c>
      <c r="Z22">
        <f t="shared" si="17"/>
        <v>5.9699872459363386</v>
      </c>
      <c r="AA22">
        <f t="shared" si="20"/>
        <v>0.45999012101753517</v>
      </c>
      <c r="AB22">
        <f t="shared" si="21"/>
        <v>0.3862359550561798</v>
      </c>
      <c r="AC22">
        <f t="shared" si="28"/>
        <v>-0.2789400278940028</v>
      </c>
      <c r="AD22">
        <f t="shared" si="29"/>
        <v>0</v>
      </c>
      <c r="AE22">
        <f t="shared" si="30"/>
        <v>-1.3698630136986301</v>
      </c>
      <c r="AF22">
        <f t="shared" si="22"/>
        <v>0.33893886064398382</v>
      </c>
      <c r="AG22">
        <f t="shared" si="23"/>
        <v>1.2017710309930423</v>
      </c>
      <c r="AH22">
        <f t="shared" si="24"/>
        <v>-2.9411764705882355</v>
      </c>
      <c r="AI22">
        <f t="shared" si="25"/>
        <v>-2.5974025974025974</v>
      </c>
      <c r="AJ22">
        <f t="shared" si="26"/>
        <v>0.21401509674060792</v>
      </c>
      <c r="AK22">
        <f t="shared" si="26"/>
        <v>3.6269430051813472</v>
      </c>
      <c r="AL22">
        <f t="shared" si="27"/>
        <v>0.41144414168937332</v>
      </c>
    </row>
    <row r="23" spans="1:38" ht="18" x14ac:dyDescent="0.2">
      <c r="A23" s="7">
        <v>2020</v>
      </c>
      <c r="B23" s="8">
        <v>36873</v>
      </c>
      <c r="C23" s="8">
        <v>32537</v>
      </c>
      <c r="D23" s="8">
        <v>2878</v>
      </c>
      <c r="E23" s="8">
        <v>716</v>
      </c>
      <c r="F23" s="8">
        <v>230</v>
      </c>
      <c r="G23" s="8">
        <v>511</v>
      </c>
      <c r="H23" s="8">
        <v>0</v>
      </c>
      <c r="I23" s="8">
        <v>1</v>
      </c>
      <c r="J23" s="8">
        <v>30878</v>
      </c>
      <c r="K23" s="8">
        <v>4727</v>
      </c>
      <c r="L23" s="8">
        <v>33</v>
      </c>
      <c r="M23" s="8">
        <v>76</v>
      </c>
      <c r="N23" s="8">
        <v>34715</v>
      </c>
      <c r="O23" s="8">
        <v>2158</v>
      </c>
      <c r="P23">
        <f t="shared" si="7"/>
        <v>88.240718140644915</v>
      </c>
      <c r="Q23">
        <f t="shared" si="8"/>
        <v>7.805169093916958</v>
      </c>
      <c r="R23">
        <f t="shared" si="9"/>
        <v>1.9418002332329889</v>
      </c>
      <c r="S23">
        <f t="shared" si="10"/>
        <v>0.62376264475361376</v>
      </c>
      <c r="T23">
        <f t="shared" si="11"/>
        <v>1.385837875952594</v>
      </c>
      <c r="U23">
        <f t="shared" si="12"/>
        <v>83.741491063922112</v>
      </c>
      <c r="V23">
        <f t="shared" si="13"/>
        <v>12.819678355436228</v>
      </c>
      <c r="W23">
        <f t="shared" si="14"/>
        <v>8.9496379464648931E-2</v>
      </c>
      <c r="X23">
        <f t="shared" si="15"/>
        <v>0.2061128739185854</v>
      </c>
      <c r="Y23">
        <f t="shared" si="16"/>
        <v>94.147479185311752</v>
      </c>
      <c r="Z23">
        <f t="shared" si="17"/>
        <v>5.8525208146882539</v>
      </c>
      <c r="AA23">
        <f t="shared" si="20"/>
        <v>-1.2292185243231616E-2</v>
      </c>
      <c r="AB23">
        <f t="shared" si="21"/>
        <v>0.66456803077999305</v>
      </c>
      <c r="AC23">
        <f t="shared" si="28"/>
        <v>0.13986013986013987</v>
      </c>
      <c r="AD23">
        <f t="shared" si="29"/>
        <v>-0.4329004329004329</v>
      </c>
      <c r="AE23">
        <f t="shared" si="30"/>
        <v>1.3888888888888888</v>
      </c>
      <c r="AF23">
        <f t="shared" si="22"/>
        <v>0.29232168377289852</v>
      </c>
      <c r="AG23">
        <f t="shared" si="23"/>
        <v>-1.5208333333333333</v>
      </c>
      <c r="AH23">
        <f t="shared" si="24"/>
        <v>0</v>
      </c>
      <c r="AI23">
        <f t="shared" si="25"/>
        <v>1.3333333333333333</v>
      </c>
      <c r="AJ23">
        <f t="shared" si="26"/>
        <v>0.18469885428991947</v>
      </c>
      <c r="AK23">
        <f t="shared" si="26"/>
        <v>-1.9090909090909092</v>
      </c>
      <c r="AL23">
        <f t="shared" si="27"/>
        <v>5.9699872459363382E-2</v>
      </c>
    </row>
    <row r="24" spans="1:38" ht="18" x14ac:dyDescent="0.2">
      <c r="A24" s="7">
        <v>2021</v>
      </c>
      <c r="B24" s="8">
        <v>37018</v>
      </c>
      <c r="C24" s="8">
        <v>32681</v>
      </c>
      <c r="D24" s="8">
        <v>2881</v>
      </c>
      <c r="E24" s="8">
        <v>714</v>
      </c>
      <c r="F24" s="8">
        <v>231</v>
      </c>
      <c r="G24" s="8">
        <v>510</v>
      </c>
      <c r="H24" s="8">
        <v>0</v>
      </c>
      <c r="I24" s="8">
        <v>1</v>
      </c>
      <c r="J24" s="8">
        <v>31041</v>
      </c>
      <c r="K24" s="8">
        <v>4708</v>
      </c>
      <c r="L24" s="8">
        <v>32</v>
      </c>
      <c r="M24" s="8">
        <v>78</v>
      </c>
      <c r="N24" s="8">
        <v>34851</v>
      </c>
      <c r="O24" s="8">
        <v>2167</v>
      </c>
      <c r="P24">
        <f t="shared" si="7"/>
        <v>88.284078016100281</v>
      </c>
      <c r="Q24">
        <f t="shared" si="8"/>
        <v>7.7827003079582902</v>
      </c>
      <c r="R24">
        <f t="shared" si="9"/>
        <v>1.9287913987789724</v>
      </c>
      <c r="S24">
        <f t="shared" si="10"/>
        <v>0.62402074666378515</v>
      </c>
      <c r="T24">
        <f t="shared" si="11"/>
        <v>1.3777081419849804</v>
      </c>
      <c r="U24">
        <f t="shared" si="12"/>
        <v>83.853800853638774</v>
      </c>
      <c r="V24">
        <f t="shared" si="13"/>
        <v>12.718137122480956</v>
      </c>
      <c r="W24">
        <f t="shared" si="14"/>
        <v>8.6444432438273267E-2</v>
      </c>
      <c r="X24">
        <f t="shared" si="15"/>
        <v>0.21070830406829111</v>
      </c>
      <c r="Y24">
        <f t="shared" si="16"/>
        <v>94.146091090820676</v>
      </c>
      <c r="Z24">
        <f t="shared" si="17"/>
        <v>5.8539089091793182</v>
      </c>
      <c r="AA24">
        <f t="shared" si="20"/>
        <v>0.4425730706580201</v>
      </c>
      <c r="AB24">
        <f t="shared" si="21"/>
        <v>0.10423905489923559</v>
      </c>
      <c r="AC24">
        <f t="shared" si="28"/>
        <v>-0.27932960893854747</v>
      </c>
      <c r="AD24">
        <f t="shared" si="29"/>
        <v>0.43478260869565216</v>
      </c>
      <c r="AE24">
        <f t="shared" si="30"/>
        <v>-0.19569471624266144</v>
      </c>
      <c r="AF24">
        <f t="shared" si="22"/>
        <v>0.52788393030636704</v>
      </c>
      <c r="AG24">
        <f t="shared" si="23"/>
        <v>-0.40194626613073831</v>
      </c>
      <c r="AH24">
        <f t="shared" si="24"/>
        <v>-3.0303030303030303</v>
      </c>
      <c r="AI24">
        <f t="shared" si="25"/>
        <v>2.6315789473684212</v>
      </c>
      <c r="AJ24">
        <f t="shared" si="26"/>
        <v>0.39176148638916897</v>
      </c>
      <c r="AK24">
        <f t="shared" si="26"/>
        <v>0.41705282669138088</v>
      </c>
      <c r="AL24">
        <f t="shared" si="27"/>
        <v>0.39324166734466953</v>
      </c>
    </row>
    <row r="25" spans="1:38" ht="18" x14ac:dyDescent="0.2">
      <c r="A25" s="7">
        <v>2022</v>
      </c>
      <c r="B25" s="8">
        <v>37229</v>
      </c>
      <c r="C25" s="8">
        <v>32824</v>
      </c>
      <c r="D25" s="8">
        <v>2954</v>
      </c>
      <c r="E25" s="8">
        <v>708</v>
      </c>
      <c r="F25" s="8">
        <v>229</v>
      </c>
      <c r="G25" s="8">
        <v>513</v>
      </c>
      <c r="H25" s="8">
        <v>0</v>
      </c>
      <c r="I25" s="8">
        <v>1</v>
      </c>
      <c r="J25" s="8">
        <v>31201</v>
      </c>
      <c r="K25" s="8">
        <v>4760</v>
      </c>
      <c r="L25" s="8">
        <v>32</v>
      </c>
      <c r="M25" s="8">
        <v>78</v>
      </c>
      <c r="N25" s="8">
        <v>34998</v>
      </c>
      <c r="O25" s="8">
        <v>2231</v>
      </c>
      <c r="P25">
        <f t="shared" si="7"/>
        <v>88.167826157028117</v>
      </c>
      <c r="Q25">
        <f t="shared" si="8"/>
        <v>7.9346745816433426</v>
      </c>
      <c r="R25">
        <f t="shared" si="9"/>
        <v>1.9017432646592709</v>
      </c>
      <c r="S25">
        <f t="shared" si="10"/>
        <v>0.61511187515109189</v>
      </c>
      <c r="T25">
        <f t="shared" si="11"/>
        <v>1.377958043460743</v>
      </c>
      <c r="U25">
        <f t="shared" si="12"/>
        <v>83.808321469821919</v>
      </c>
      <c r="V25">
        <f t="shared" si="13"/>
        <v>12.785731553358941</v>
      </c>
      <c r="W25">
        <f t="shared" si="14"/>
        <v>8.5954497837707158E-2</v>
      </c>
      <c r="X25">
        <f t="shared" si="15"/>
        <v>0.20951408847941122</v>
      </c>
      <c r="Y25">
        <f t="shared" si="16"/>
        <v>94.007359853877347</v>
      </c>
      <c r="Z25">
        <f t="shared" si="17"/>
        <v>5.9926401461226462</v>
      </c>
      <c r="AA25">
        <f t="shared" si="20"/>
        <v>0.43756311006395154</v>
      </c>
      <c r="AB25">
        <f t="shared" si="21"/>
        <v>2.5338424158278374</v>
      </c>
      <c r="AC25">
        <f t="shared" si="28"/>
        <v>-0.84033613445378152</v>
      </c>
      <c r="AD25">
        <f t="shared" si="29"/>
        <v>-0.86580086580086579</v>
      </c>
      <c r="AE25">
        <f t="shared" si="30"/>
        <v>0.58823529411764708</v>
      </c>
      <c r="AF25">
        <f t="shared" si="22"/>
        <v>0.51544731162011537</v>
      </c>
      <c r="AG25">
        <f t="shared" si="23"/>
        <v>1.1045029736618521</v>
      </c>
      <c r="AH25">
        <f t="shared" si="24"/>
        <v>0</v>
      </c>
      <c r="AI25">
        <f t="shared" si="25"/>
        <v>0</v>
      </c>
      <c r="AJ25">
        <f t="shared" si="26"/>
        <v>0.42179564431436689</v>
      </c>
      <c r="AK25">
        <f t="shared" si="26"/>
        <v>2.9533917858790955</v>
      </c>
      <c r="AL25">
        <f t="shared" si="27"/>
        <v>0.56999297638986435</v>
      </c>
    </row>
    <row r="26" spans="1:38" ht="18" x14ac:dyDescent="0.2">
      <c r="A26" s="7">
        <v>2023</v>
      </c>
      <c r="B26" s="8">
        <v>37404</v>
      </c>
      <c r="C26" s="8">
        <v>32950</v>
      </c>
      <c r="D26" s="8">
        <v>3001</v>
      </c>
      <c r="E26" s="8">
        <v>705</v>
      </c>
      <c r="F26" s="8">
        <v>232</v>
      </c>
      <c r="G26" s="8">
        <v>515</v>
      </c>
      <c r="H26" s="8">
        <v>0</v>
      </c>
      <c r="I26" s="8">
        <v>1</v>
      </c>
      <c r="J26" s="8">
        <v>31308</v>
      </c>
      <c r="K26" s="8">
        <v>4828</v>
      </c>
      <c r="L26" s="8">
        <v>30</v>
      </c>
      <c r="M26" s="8">
        <v>79</v>
      </c>
      <c r="N26" s="8">
        <v>35075</v>
      </c>
      <c r="O26" s="8">
        <v>2329</v>
      </c>
      <c r="P26">
        <f t="shared" si="7"/>
        <v>88.092182654261578</v>
      </c>
      <c r="Q26">
        <f t="shared" si="8"/>
        <v>8.0232060742166613</v>
      </c>
      <c r="R26">
        <f t="shared" si="9"/>
        <v>1.8848251523901187</v>
      </c>
      <c r="S26">
        <f t="shared" si="10"/>
        <v>0.62025451823334399</v>
      </c>
      <c r="T26">
        <f t="shared" si="11"/>
        <v>1.3768580900438456</v>
      </c>
      <c r="U26">
        <f t="shared" si="12"/>
        <v>83.702277831247997</v>
      </c>
      <c r="V26">
        <f t="shared" si="13"/>
        <v>12.907710405304245</v>
      </c>
      <c r="W26">
        <f t="shared" si="14"/>
        <v>8.0205325633622079E-2</v>
      </c>
      <c r="X26">
        <f t="shared" si="15"/>
        <v>0.21120735750187145</v>
      </c>
      <c r="Y26">
        <f t="shared" si="16"/>
        <v>93.773393219976469</v>
      </c>
      <c r="Z26">
        <f t="shared" si="17"/>
        <v>6.226606780023527</v>
      </c>
      <c r="AA26">
        <f t="shared" si="20"/>
        <v>0.3838654642944187</v>
      </c>
      <c r="AB26">
        <f t="shared" si="21"/>
        <v>1.5910629654705484</v>
      </c>
      <c r="AC26">
        <f t="shared" si="28"/>
        <v>-0.42372881355932202</v>
      </c>
      <c r="AD26">
        <f t="shared" si="29"/>
        <v>1.3100436681222707</v>
      </c>
      <c r="AE26">
        <f t="shared" si="30"/>
        <v>0.38986354775828458</v>
      </c>
      <c r="AF26">
        <f t="shared" si="22"/>
        <v>0.34293772635492453</v>
      </c>
      <c r="AG26">
        <f t="shared" si="23"/>
        <v>1.4285714285714286</v>
      </c>
      <c r="AH26">
        <f t="shared" si="24"/>
        <v>-6.25</v>
      </c>
      <c r="AI26">
        <f t="shared" si="25"/>
        <v>1.2820512820512822</v>
      </c>
      <c r="AJ26">
        <f t="shared" si="26"/>
        <v>0.22001257214697983</v>
      </c>
      <c r="AK26">
        <f t="shared" si="26"/>
        <v>4.3926490363065893</v>
      </c>
      <c r="AL26">
        <f t="shared" si="27"/>
        <v>0.47006366004996103</v>
      </c>
    </row>
    <row r="27" spans="1:38" ht="18" x14ac:dyDescent="0.2">
      <c r="A27" s="7">
        <v>2024</v>
      </c>
      <c r="B27" s="8">
        <v>37539</v>
      </c>
      <c r="C27" s="8">
        <v>33033</v>
      </c>
      <c r="D27" s="8">
        <v>3048</v>
      </c>
      <c r="E27" s="8">
        <v>708</v>
      </c>
      <c r="F27" s="8">
        <v>231</v>
      </c>
      <c r="G27" s="8">
        <v>518</v>
      </c>
      <c r="H27" s="8">
        <v>0</v>
      </c>
      <c r="I27" s="8">
        <v>1</v>
      </c>
      <c r="J27" s="8">
        <v>31438</v>
      </c>
      <c r="K27" s="8">
        <v>4824</v>
      </c>
      <c r="L27" s="8">
        <v>36</v>
      </c>
      <c r="M27" s="8">
        <v>76</v>
      </c>
      <c r="N27" s="8">
        <v>35162</v>
      </c>
      <c r="O27" s="8">
        <v>2377</v>
      </c>
      <c r="P27">
        <f t="shared" si="7"/>
        <v>87.99648365699673</v>
      </c>
      <c r="Q27">
        <f t="shared" si="8"/>
        <v>8.119555662111404</v>
      </c>
      <c r="R27">
        <f t="shared" si="9"/>
        <v>1.8860385199392631</v>
      </c>
      <c r="S27">
        <f t="shared" si="10"/>
        <v>0.61536002557340364</v>
      </c>
      <c r="T27">
        <f t="shared" si="11"/>
        <v>1.3798982391646022</v>
      </c>
      <c r="U27">
        <f t="shared" si="12"/>
        <v>83.74756919470417</v>
      </c>
      <c r="V27">
        <f t="shared" si="13"/>
        <v>12.850635339247184</v>
      </c>
      <c r="W27">
        <f t="shared" si="14"/>
        <v>9.5900263725725243E-2</v>
      </c>
      <c r="X27">
        <f t="shared" si="15"/>
        <v>0.20245611230986441</v>
      </c>
      <c r="Y27">
        <f t="shared" si="16"/>
        <v>93.667918697887529</v>
      </c>
      <c r="Z27">
        <f t="shared" si="17"/>
        <v>6.3320813021124698</v>
      </c>
      <c r="AA27">
        <f t="shared" si="20"/>
        <v>0.25189681335356601</v>
      </c>
      <c r="AB27">
        <f t="shared" si="21"/>
        <v>1.5661446184605132</v>
      </c>
      <c r="AC27">
        <f t="shared" si="28"/>
        <v>0.42553191489361702</v>
      </c>
      <c r="AD27">
        <f t="shared" si="29"/>
        <v>-0.43103448275862066</v>
      </c>
      <c r="AE27">
        <f t="shared" si="30"/>
        <v>0.58252427184466016</v>
      </c>
      <c r="AF27">
        <f t="shared" si="22"/>
        <v>0.4152293343554363</v>
      </c>
      <c r="AG27">
        <f t="shared" si="23"/>
        <v>-8.2850041425020712E-2</v>
      </c>
      <c r="AH27">
        <f t="shared" si="24"/>
        <v>20</v>
      </c>
      <c r="AI27">
        <f t="shared" si="25"/>
        <v>-3.7974683544303796</v>
      </c>
      <c r="AJ27">
        <f t="shared" si="26"/>
        <v>0.24803991446899501</v>
      </c>
      <c r="AK27">
        <f t="shared" si="26"/>
        <v>2.0609703735508802</v>
      </c>
      <c r="AL27">
        <f t="shared" si="27"/>
        <v>0.36092396535129934</v>
      </c>
    </row>
    <row r="28" spans="1:38" ht="18" x14ac:dyDescent="0.2">
      <c r="A28" s="7">
        <v>2025</v>
      </c>
      <c r="B28" s="8">
        <v>37654</v>
      </c>
      <c r="C28" s="8">
        <v>33078</v>
      </c>
      <c r="D28" s="8">
        <v>3109</v>
      </c>
      <c r="E28" s="8">
        <v>706</v>
      </c>
      <c r="F28" s="8">
        <v>234</v>
      </c>
      <c r="G28" s="8">
        <v>526</v>
      </c>
      <c r="H28" s="8">
        <v>0</v>
      </c>
      <c r="I28" s="8">
        <v>1</v>
      </c>
      <c r="J28" s="8">
        <v>31512</v>
      </c>
      <c r="K28" s="8">
        <v>4860</v>
      </c>
      <c r="L28" s="8">
        <v>35</v>
      </c>
      <c r="M28" s="8">
        <v>75</v>
      </c>
      <c r="N28" s="8">
        <v>35248</v>
      </c>
      <c r="O28" s="8">
        <v>2406</v>
      </c>
      <c r="P28">
        <f t="shared" si="7"/>
        <v>87.847240665002388</v>
      </c>
      <c r="Q28">
        <f t="shared" si="8"/>
        <v>8.2567589100759555</v>
      </c>
      <c r="R28">
        <f t="shared" si="9"/>
        <v>1.8749668029956976</v>
      </c>
      <c r="S28">
        <f t="shared" si="10"/>
        <v>0.62144792053965048</v>
      </c>
      <c r="T28">
        <f t="shared" si="11"/>
        <v>1.3969299410421203</v>
      </c>
      <c r="U28">
        <f t="shared" si="12"/>
        <v>83.688319966006262</v>
      </c>
      <c r="V28">
        <f t="shared" si="13"/>
        <v>12.906995272746588</v>
      </c>
      <c r="W28">
        <f t="shared" si="14"/>
        <v>9.2951612046528923E-2</v>
      </c>
      <c r="X28">
        <f t="shared" si="15"/>
        <v>0.19918202581399055</v>
      </c>
      <c r="Y28">
        <f t="shared" si="16"/>
        <v>93.610240611887178</v>
      </c>
      <c r="Z28">
        <f t="shared" si="17"/>
        <v>6.3897593881128163</v>
      </c>
      <c r="AA28">
        <f t="shared" si="20"/>
        <v>0.13622740895468169</v>
      </c>
      <c r="AB28">
        <f t="shared" si="21"/>
        <v>2.0013123359580054</v>
      </c>
      <c r="AC28">
        <f t="shared" si="28"/>
        <v>-0.2824858757062147</v>
      </c>
      <c r="AD28">
        <f t="shared" si="29"/>
        <v>1.2987012987012987</v>
      </c>
      <c r="AE28">
        <f t="shared" si="30"/>
        <v>1.5444015444015444</v>
      </c>
      <c r="AF28">
        <f t="shared" si="22"/>
        <v>0.23538393027546281</v>
      </c>
      <c r="AG28">
        <f t="shared" si="23"/>
        <v>0.74626865671641796</v>
      </c>
      <c r="AH28">
        <f t="shared" si="24"/>
        <v>-2.7777777777777777</v>
      </c>
      <c r="AI28">
        <f t="shared" si="25"/>
        <v>-1.3157894736842106</v>
      </c>
      <c r="AJ28">
        <f t="shared" si="26"/>
        <v>0.24458221944144246</v>
      </c>
      <c r="AK28">
        <f t="shared" si="26"/>
        <v>1.2200252419015565</v>
      </c>
      <c r="AL28">
        <f t="shared" si="27"/>
        <v>0.30634806467940007</v>
      </c>
    </row>
    <row r="31" spans="1:38" x14ac:dyDescent="0.2">
      <c r="A31" s="5" t="s">
        <v>184</v>
      </c>
      <c r="B31" t="s">
        <v>197</v>
      </c>
    </row>
    <row r="32" spans="1:38" x14ac:dyDescent="0.2">
      <c r="A32" s="6">
        <v>1999</v>
      </c>
      <c r="B32">
        <v>89.542553570791881</v>
      </c>
    </row>
    <row r="33" spans="1:2" x14ac:dyDescent="0.2">
      <c r="A33" s="6">
        <v>2000</v>
      </c>
      <c r="B33">
        <v>89.427094398413715</v>
      </c>
    </row>
    <row r="34" spans="1:2" x14ac:dyDescent="0.2">
      <c r="A34" s="6">
        <v>2001</v>
      </c>
      <c r="B34">
        <v>89.267539395641037</v>
      </c>
    </row>
    <row r="35" spans="1:2" x14ac:dyDescent="0.2">
      <c r="A35" s="6">
        <v>2002</v>
      </c>
      <c r="B35">
        <v>89.23601447258558</v>
      </c>
    </row>
    <row r="36" spans="1:2" x14ac:dyDescent="0.2">
      <c r="A36" s="6">
        <v>2003</v>
      </c>
      <c r="B36">
        <v>88.973619126133556</v>
      </c>
    </row>
    <row r="37" spans="1:2" x14ac:dyDescent="0.2">
      <c r="A37" s="6">
        <v>2004</v>
      </c>
      <c r="B37">
        <v>88.927534274329716</v>
      </c>
    </row>
    <row r="38" spans="1:2" x14ac:dyDescent="0.2">
      <c r="A38" s="6">
        <v>2005</v>
      </c>
      <c r="B38">
        <v>88.844068244941141</v>
      </c>
    </row>
    <row r="39" spans="1:2" x14ac:dyDescent="0.2">
      <c r="A39" s="6">
        <v>2006</v>
      </c>
      <c r="B39">
        <v>88.696885679283</v>
      </c>
    </row>
    <row r="40" spans="1:2" x14ac:dyDescent="0.2">
      <c r="A40" s="6">
        <v>2007</v>
      </c>
      <c r="B40">
        <v>88.424386878253785</v>
      </c>
    </row>
    <row r="41" spans="1:2" x14ac:dyDescent="0.2">
      <c r="A41" s="6">
        <v>2008</v>
      </c>
      <c r="B41">
        <v>88.188139556068379</v>
      </c>
    </row>
    <row r="42" spans="1:2" x14ac:dyDescent="0.2">
      <c r="A42" s="6">
        <v>2009</v>
      </c>
      <c r="B42">
        <v>88.172844660483705</v>
      </c>
    </row>
    <row r="43" spans="1:2" x14ac:dyDescent="0.2">
      <c r="A43" s="6">
        <v>2010</v>
      </c>
      <c r="B43">
        <v>88.128749085588879</v>
      </c>
    </row>
    <row r="44" spans="1:2" x14ac:dyDescent="0.2">
      <c r="A44" s="6">
        <v>2011</v>
      </c>
      <c r="B44">
        <v>88.147766618021578</v>
      </c>
    </row>
    <row r="45" spans="1:2" x14ac:dyDescent="0.2">
      <c r="A45" s="6">
        <v>2012</v>
      </c>
      <c r="B45">
        <v>88.18514350028137</v>
      </c>
    </row>
    <row r="46" spans="1:2" x14ac:dyDescent="0.2">
      <c r="A46" s="6">
        <v>2013</v>
      </c>
      <c r="B46">
        <v>88.086922778424523</v>
      </c>
    </row>
    <row r="47" spans="1:2" x14ac:dyDescent="0.2">
      <c r="A47" s="6">
        <v>2014</v>
      </c>
      <c r="B47">
        <v>88.098641887062186</v>
      </c>
    </row>
    <row r="48" spans="1:2" x14ac:dyDescent="0.2">
      <c r="A48" s="6">
        <v>2015</v>
      </c>
      <c r="B48">
        <v>88.164105378704718</v>
      </c>
    </row>
    <row r="49" spans="1:2" x14ac:dyDescent="0.2">
      <c r="A49" s="6">
        <v>2016</v>
      </c>
      <c r="B49">
        <v>88.203974091557797</v>
      </c>
    </row>
    <row r="50" spans="1:2" x14ac:dyDescent="0.2">
      <c r="A50" s="6">
        <v>2017</v>
      </c>
      <c r="B50">
        <v>88.242049711520053</v>
      </c>
    </row>
    <row r="51" spans="1:2" x14ac:dyDescent="0.2">
      <c r="A51" s="6">
        <v>2018</v>
      </c>
      <c r="B51">
        <v>88.26158038147139</v>
      </c>
    </row>
    <row r="52" spans="1:2" x14ac:dyDescent="0.2">
      <c r="A52" s="6">
        <v>2019</v>
      </c>
      <c r="B52">
        <v>88.304252259097453</v>
      </c>
    </row>
    <row r="53" spans="1:2" x14ac:dyDescent="0.2">
      <c r="A53" s="6">
        <v>2020</v>
      </c>
      <c r="B53">
        <v>88.240718140644915</v>
      </c>
    </row>
    <row r="54" spans="1:2" x14ac:dyDescent="0.2">
      <c r="A54" s="6">
        <v>2021</v>
      </c>
      <c r="B54">
        <v>88.284078016100281</v>
      </c>
    </row>
    <row r="55" spans="1:2" x14ac:dyDescent="0.2">
      <c r="A55" s="6">
        <v>2022</v>
      </c>
      <c r="B55">
        <v>88.167826157028117</v>
      </c>
    </row>
    <row r="56" spans="1:2" x14ac:dyDescent="0.2">
      <c r="A56" s="6">
        <v>2023</v>
      </c>
      <c r="B56">
        <v>88.092182654261578</v>
      </c>
    </row>
    <row r="57" spans="1:2" x14ac:dyDescent="0.2">
      <c r="A57" s="6">
        <v>2024</v>
      </c>
      <c r="B57">
        <v>87.99648365699673</v>
      </c>
    </row>
    <row r="58" spans="1:2" x14ac:dyDescent="0.2">
      <c r="A58" s="6">
        <v>2025</v>
      </c>
      <c r="B58">
        <v>87.847240665002388</v>
      </c>
    </row>
    <row r="59" spans="1:2" x14ac:dyDescent="0.2">
      <c r="A59" s="6" t="s">
        <v>186</v>
      </c>
      <c r="B59">
        <v>2388.1523952386892</v>
      </c>
    </row>
    <row r="65" spans="1:2" x14ac:dyDescent="0.2">
      <c r="A65" s="5" t="s">
        <v>184</v>
      </c>
      <c r="B65" t="s">
        <v>256</v>
      </c>
    </row>
    <row r="66" spans="1:2" x14ac:dyDescent="0.2">
      <c r="A66" s="6">
        <v>1999</v>
      </c>
    </row>
    <row r="67" spans="1:2" x14ac:dyDescent="0.2">
      <c r="A67" s="6">
        <v>2000</v>
      </c>
      <c r="B67">
        <v>0.56542167715218605</v>
      </c>
    </row>
    <row r="68" spans="1:2" x14ac:dyDescent="0.2">
      <c r="A68" s="6">
        <v>2001</v>
      </c>
      <c r="B68">
        <v>0.70874247703515991</v>
      </c>
    </row>
    <row r="69" spans="1:2" x14ac:dyDescent="0.2">
      <c r="A69" s="6">
        <v>2002</v>
      </c>
      <c r="B69">
        <v>0.84529192058187541</v>
      </c>
    </row>
    <row r="70" spans="1:2" x14ac:dyDescent="0.2">
      <c r="A70" s="6">
        <v>2003</v>
      </c>
      <c r="B70">
        <v>0.98245614035087714</v>
      </c>
    </row>
    <row r="71" spans="1:2" x14ac:dyDescent="0.2">
      <c r="A71" s="6">
        <v>2004</v>
      </c>
      <c r="B71">
        <v>1.671685584124778</v>
      </c>
    </row>
    <row r="72" spans="1:2" x14ac:dyDescent="0.2">
      <c r="A72" s="6">
        <v>2005</v>
      </c>
      <c r="B72">
        <v>2.0315169925954053</v>
      </c>
    </row>
    <row r="73" spans="1:2" x14ac:dyDescent="0.2">
      <c r="A73" s="6">
        <v>2006</v>
      </c>
      <c r="B73">
        <v>2.3892817268328992</v>
      </c>
    </row>
    <row r="74" spans="1:2" x14ac:dyDescent="0.2">
      <c r="A74" s="6">
        <v>2007</v>
      </c>
      <c r="B74">
        <v>2.4825530677522534</v>
      </c>
    </row>
    <row r="75" spans="1:2" x14ac:dyDescent="0.2">
      <c r="A75" s="6">
        <v>2008</v>
      </c>
      <c r="B75">
        <v>3.007625465508069</v>
      </c>
    </row>
    <row r="76" spans="1:2" x14ac:dyDescent="0.2">
      <c r="A76" s="6">
        <v>2009</v>
      </c>
      <c r="B76">
        <v>1.8042213269978997</v>
      </c>
    </row>
    <row r="77" spans="1:2" x14ac:dyDescent="0.2">
      <c r="A77" s="6">
        <v>2010</v>
      </c>
      <c r="B77">
        <v>1.8635641086346264</v>
      </c>
    </row>
    <row r="78" spans="1:2" x14ac:dyDescent="0.2">
      <c r="A78" s="6">
        <v>2011</v>
      </c>
      <c r="B78">
        <v>2.2810279567036322</v>
      </c>
    </row>
    <row r="79" spans="1:2" x14ac:dyDescent="0.2">
      <c r="A79" s="6">
        <v>2012</v>
      </c>
      <c r="B79">
        <v>1.7399772764161663</v>
      </c>
    </row>
    <row r="80" spans="1:2" x14ac:dyDescent="0.2">
      <c r="A80" s="6">
        <v>2013</v>
      </c>
      <c r="B80">
        <v>1.4007211001563447</v>
      </c>
    </row>
    <row r="81" spans="1:2" x14ac:dyDescent="0.2">
      <c r="A81" s="6">
        <v>2014</v>
      </c>
      <c r="B81">
        <v>0.83385777218376333</v>
      </c>
    </row>
    <row r="82" spans="1:2" x14ac:dyDescent="0.2">
      <c r="A82" s="6">
        <v>2015</v>
      </c>
      <c r="B82">
        <v>0.25589015447027619</v>
      </c>
    </row>
    <row r="83" spans="1:2" x14ac:dyDescent="0.2">
      <c r="A83" s="6">
        <v>2016</v>
      </c>
      <c r="B83">
        <v>3.4239113518224548E-2</v>
      </c>
    </row>
    <row r="84" spans="1:2" x14ac:dyDescent="0.2">
      <c r="A84" s="6">
        <v>2017</v>
      </c>
      <c r="B84">
        <v>0.4138403136473956</v>
      </c>
    </row>
    <row r="85" spans="1:2" x14ac:dyDescent="0.2">
      <c r="A85" s="6">
        <v>2018</v>
      </c>
      <c r="B85">
        <v>0.37494964519227791</v>
      </c>
    </row>
    <row r="86" spans="1:2" x14ac:dyDescent="0.2">
      <c r="A86" s="6">
        <v>2019</v>
      </c>
      <c r="B86">
        <v>0.45999012101753517</v>
      </c>
    </row>
    <row r="87" spans="1:2" x14ac:dyDescent="0.2">
      <c r="A87" s="6">
        <v>2020</v>
      </c>
      <c r="B87">
        <v>-1.2292185243231616E-2</v>
      </c>
    </row>
    <row r="88" spans="1:2" x14ac:dyDescent="0.2">
      <c r="A88" s="6">
        <v>2021</v>
      </c>
      <c r="B88">
        <v>0.4425730706580201</v>
      </c>
    </row>
    <row r="89" spans="1:2" x14ac:dyDescent="0.2">
      <c r="A89" s="6">
        <v>2022</v>
      </c>
      <c r="B89">
        <v>0.43756311006395154</v>
      </c>
    </row>
    <row r="90" spans="1:2" x14ac:dyDescent="0.2">
      <c r="A90" s="6">
        <v>2023</v>
      </c>
      <c r="B90">
        <v>0.3838654642944187</v>
      </c>
    </row>
    <row r="91" spans="1:2" x14ac:dyDescent="0.2">
      <c r="A91" s="6">
        <v>2024</v>
      </c>
      <c r="B91">
        <v>0.25189681335356601</v>
      </c>
    </row>
    <row r="92" spans="1:2" x14ac:dyDescent="0.2">
      <c r="A92" s="6">
        <v>2025</v>
      </c>
      <c r="B92">
        <v>0.13622740895468169</v>
      </c>
    </row>
    <row r="93" spans="1:2" x14ac:dyDescent="0.2">
      <c r="A93" s="6" t="s">
        <v>186</v>
      </c>
      <c r="B93">
        <v>1.0687187547289634</v>
      </c>
    </row>
    <row r="97" spans="1:2" x14ac:dyDescent="0.2">
      <c r="A97" s="5" t="s">
        <v>184</v>
      </c>
      <c r="B97" t="s">
        <v>257</v>
      </c>
    </row>
    <row r="98" spans="1:2" x14ac:dyDescent="0.2">
      <c r="A98" s="6">
        <v>1999</v>
      </c>
      <c r="B98">
        <v>4.5067208614112024</v>
      </c>
    </row>
    <row r="99" spans="1:2" x14ac:dyDescent="0.2">
      <c r="A99" s="6">
        <v>2000</v>
      </c>
      <c r="B99">
        <v>4.673889951136605</v>
      </c>
    </row>
    <row r="100" spans="1:2" x14ac:dyDescent="0.2">
      <c r="A100" s="6">
        <v>2001</v>
      </c>
      <c r="B100">
        <v>4.6397360755273223</v>
      </c>
    </row>
    <row r="101" spans="1:2" x14ac:dyDescent="0.2">
      <c r="A101" s="6">
        <v>2002</v>
      </c>
      <c r="B101">
        <v>4.7662120790425826</v>
      </c>
    </row>
    <row r="102" spans="1:2" x14ac:dyDescent="0.2">
      <c r="A102" s="6">
        <v>2003</v>
      </c>
      <c r="B102">
        <v>4.6716130805166252</v>
      </c>
    </row>
    <row r="103" spans="1:2" x14ac:dyDescent="0.2">
      <c r="A103" s="6">
        <v>2004</v>
      </c>
      <c r="B103">
        <v>4.8895792530559872</v>
      </c>
    </row>
    <row r="104" spans="1:2" x14ac:dyDescent="0.2">
      <c r="A104" s="6">
        <v>2005</v>
      </c>
      <c r="B104">
        <v>4.9563549795000661</v>
      </c>
    </row>
    <row r="105" spans="1:2" x14ac:dyDescent="0.2">
      <c r="A105" s="6">
        <v>2006</v>
      </c>
      <c r="B105">
        <v>5.1453994454832674</v>
      </c>
    </row>
    <row r="106" spans="1:2" x14ac:dyDescent="0.2">
      <c r="A106" s="6">
        <v>2007</v>
      </c>
      <c r="B106">
        <v>5.2154550586464277</v>
      </c>
    </row>
    <row r="107" spans="1:2" x14ac:dyDescent="0.2">
      <c r="A107" s="6">
        <v>2008</v>
      </c>
      <c r="B107">
        <v>5.4018765372119155</v>
      </c>
    </row>
    <row r="108" spans="1:2" x14ac:dyDescent="0.2">
      <c r="A108" s="6">
        <v>2009</v>
      </c>
      <c r="B108">
        <v>5.4394178868577221</v>
      </c>
    </row>
    <row r="109" spans="1:2" x14ac:dyDescent="0.2">
      <c r="A109" s="6">
        <v>2010</v>
      </c>
      <c r="B109">
        <v>5.3986832479882958</v>
      </c>
    </row>
    <row r="110" spans="1:2" x14ac:dyDescent="0.2">
      <c r="A110" s="6">
        <v>2011</v>
      </c>
      <c r="B110">
        <v>5.6113543365668015</v>
      </c>
    </row>
    <row r="111" spans="1:2" x14ac:dyDescent="0.2">
      <c r="A111" s="6">
        <v>2012</v>
      </c>
      <c r="B111">
        <v>5.5627462014631401</v>
      </c>
    </row>
    <row r="112" spans="1:2" x14ac:dyDescent="0.2">
      <c r="A112" s="6">
        <v>2013</v>
      </c>
      <c r="B112">
        <v>5.6211541659737234</v>
      </c>
    </row>
    <row r="113" spans="1:2" x14ac:dyDescent="0.2">
      <c r="A113" s="6">
        <v>2014</v>
      </c>
      <c r="B113">
        <v>5.6743828009017427</v>
      </c>
    </row>
    <row r="114" spans="1:2" x14ac:dyDescent="0.2">
      <c r="A114" s="6">
        <v>2015</v>
      </c>
      <c r="B114">
        <v>5.7107574094401761</v>
      </c>
    </row>
    <row r="115" spans="1:2" x14ac:dyDescent="0.2">
      <c r="A115" s="6">
        <v>2016</v>
      </c>
      <c r="B115">
        <v>5.711384345153145</v>
      </c>
    </row>
    <row r="116" spans="1:2" x14ac:dyDescent="0.2">
      <c r="A116" s="6">
        <v>2017</v>
      </c>
      <c r="B116">
        <v>5.7805364906619996</v>
      </c>
    </row>
    <row r="117" spans="1:2" x14ac:dyDescent="0.2">
      <c r="A117" s="6">
        <v>2018</v>
      </c>
      <c r="B117">
        <v>5.784741144414169</v>
      </c>
    </row>
    <row r="118" spans="1:2" x14ac:dyDescent="0.2">
      <c r="A118" s="6">
        <v>2019</v>
      </c>
      <c r="B118">
        <v>5.9699872459363386</v>
      </c>
    </row>
    <row r="119" spans="1:2" x14ac:dyDescent="0.2">
      <c r="A119" s="6">
        <v>2020</v>
      </c>
      <c r="B119">
        <v>5.8525208146882539</v>
      </c>
    </row>
    <row r="120" spans="1:2" x14ac:dyDescent="0.2">
      <c r="A120" s="6">
        <v>2021</v>
      </c>
      <c r="B120">
        <v>5.8539089091793182</v>
      </c>
    </row>
    <row r="121" spans="1:2" x14ac:dyDescent="0.2">
      <c r="A121" s="6">
        <v>2022</v>
      </c>
      <c r="B121">
        <v>5.9926401461226462</v>
      </c>
    </row>
    <row r="122" spans="1:2" x14ac:dyDescent="0.2">
      <c r="A122" s="6">
        <v>2023</v>
      </c>
      <c r="B122">
        <v>6.226606780023527</v>
      </c>
    </row>
    <row r="123" spans="1:2" x14ac:dyDescent="0.2">
      <c r="A123" s="6">
        <v>2024</v>
      </c>
      <c r="B123">
        <v>6.3320813021124698</v>
      </c>
    </row>
    <row r="124" spans="1:2" x14ac:dyDescent="0.2">
      <c r="A124" s="6">
        <v>2025</v>
      </c>
      <c r="B124">
        <v>6.3897593881128163</v>
      </c>
    </row>
    <row r="125" spans="1:2" x14ac:dyDescent="0.2">
      <c r="A125" s="6" t="s">
        <v>186</v>
      </c>
      <c r="B125">
        <v>5.4733148124862332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38A4-9325-AA4D-839A-0015CF9DBFCC}">
  <dimension ref="A1:J272"/>
  <sheetViews>
    <sheetView topLeftCell="C111" workbookViewId="0">
      <selection activeCell="K6" sqref="K6"/>
    </sheetView>
  </sheetViews>
  <sheetFormatPr baseColWidth="10" defaultRowHeight="16" x14ac:dyDescent="0.2"/>
  <cols>
    <col min="1" max="1" width="8.5" bestFit="1" customWidth="1"/>
    <col min="2" max="2" width="18.33203125" bestFit="1" customWidth="1"/>
    <col min="3" max="3" width="15" bestFit="1" customWidth="1"/>
    <col min="4" max="4" width="16.83203125" bestFit="1" customWidth="1"/>
    <col min="5" max="5" width="27.83203125" bestFit="1" customWidth="1"/>
    <col min="6" max="6" width="16.33203125" style="3" bestFit="1" customWidth="1"/>
    <col min="7" max="7" width="37.6640625" bestFit="1" customWidth="1"/>
    <col min="8" max="8" width="23.33203125" style="3" bestFit="1" customWidth="1"/>
  </cols>
  <sheetData>
    <row r="1" spans="1:10" ht="18" x14ac:dyDescent="0.2">
      <c r="A1" s="2" t="s">
        <v>219</v>
      </c>
      <c r="B1" s="2" t="s">
        <v>0</v>
      </c>
      <c r="C1" s="2" t="s">
        <v>1</v>
      </c>
      <c r="D1" s="2" t="s">
        <v>2</v>
      </c>
      <c r="E1" s="2" t="s">
        <v>220</v>
      </c>
      <c r="F1" s="2" t="s">
        <v>221</v>
      </c>
      <c r="G1" s="2" t="s">
        <v>3</v>
      </c>
      <c r="H1" s="2" t="s">
        <v>4</v>
      </c>
      <c r="I1" t="str" cm="1">
        <f t="array" ref="I1:I80">_xlfn.UNIQUE(A2:A272)</f>
        <v>C-FSNC</v>
      </c>
      <c r="J1" s="1" t="s">
        <v>5</v>
      </c>
    </row>
    <row r="2" spans="1:10" ht="18" x14ac:dyDescent="0.2">
      <c r="A2" s="1" t="s">
        <v>222</v>
      </c>
      <c r="B2" s="2" t="s">
        <v>6</v>
      </c>
      <c r="C2" s="2" t="s">
        <v>223</v>
      </c>
      <c r="D2" s="2">
        <v>616</v>
      </c>
      <c r="E2" s="2" t="s">
        <v>205</v>
      </c>
      <c r="F2" s="4">
        <v>46161</v>
      </c>
      <c r="G2" s="2" t="s">
        <v>206</v>
      </c>
      <c r="H2" s="4">
        <v>46125</v>
      </c>
      <c r="I2" t="str">
        <v>C-GLAI</v>
      </c>
      <c r="J2" s="1" t="s">
        <v>9</v>
      </c>
    </row>
    <row r="3" spans="1:10" ht="18" x14ac:dyDescent="0.2">
      <c r="A3" s="1" t="s">
        <v>5</v>
      </c>
      <c r="B3" s="2" t="s">
        <v>6</v>
      </c>
      <c r="C3" s="2" t="s">
        <v>7</v>
      </c>
      <c r="D3" s="2">
        <v>178</v>
      </c>
      <c r="E3" s="2" t="s">
        <v>207</v>
      </c>
      <c r="F3" s="4">
        <v>46129</v>
      </c>
      <c r="G3" s="2" t="s">
        <v>206</v>
      </c>
      <c r="H3" s="4">
        <v>46129</v>
      </c>
      <c r="I3" t="str">
        <v>C-FPCI</v>
      </c>
      <c r="J3" s="1" t="s">
        <v>10</v>
      </c>
    </row>
    <row r="4" spans="1:10" ht="18" x14ac:dyDescent="0.2">
      <c r="A4" s="1" t="s">
        <v>9</v>
      </c>
      <c r="B4" s="2" t="s">
        <v>6</v>
      </c>
      <c r="C4" s="2" t="s">
        <v>7</v>
      </c>
      <c r="D4" s="2">
        <v>399</v>
      </c>
      <c r="E4" s="2" t="s">
        <v>207</v>
      </c>
      <c r="F4" s="4">
        <v>46129</v>
      </c>
      <c r="G4" s="2" t="s">
        <v>206</v>
      </c>
      <c r="H4" s="4">
        <v>46129</v>
      </c>
      <c r="I4" t="str">
        <v>C-GOGS</v>
      </c>
      <c r="J4" s="1" t="s">
        <v>12</v>
      </c>
    </row>
    <row r="5" spans="1:10" ht="18" x14ac:dyDescent="0.2">
      <c r="A5" s="1" t="s">
        <v>5</v>
      </c>
      <c r="B5" s="2" t="s">
        <v>6</v>
      </c>
      <c r="C5" s="2" t="s">
        <v>7</v>
      </c>
      <c r="D5" s="2">
        <v>178</v>
      </c>
      <c r="E5" s="2" t="s">
        <v>205</v>
      </c>
      <c r="F5" s="4">
        <v>46125</v>
      </c>
      <c r="G5" s="2" t="s">
        <v>206</v>
      </c>
      <c r="H5" s="4">
        <v>44854</v>
      </c>
      <c r="I5" t="str">
        <v>C-GBII</v>
      </c>
      <c r="J5" s="1" t="s">
        <v>15</v>
      </c>
    </row>
    <row r="6" spans="1:10" ht="18" x14ac:dyDescent="0.2">
      <c r="A6" s="1" t="s">
        <v>9</v>
      </c>
      <c r="B6" s="2" t="s">
        <v>6</v>
      </c>
      <c r="C6" s="2" t="s">
        <v>7</v>
      </c>
      <c r="D6" s="2">
        <v>399</v>
      </c>
      <c r="E6" s="2" t="s">
        <v>205</v>
      </c>
      <c r="F6" s="4">
        <v>46125</v>
      </c>
      <c r="G6" s="2" t="s">
        <v>206</v>
      </c>
      <c r="H6" s="4">
        <v>42816</v>
      </c>
      <c r="I6" t="str">
        <v>C-FGWG</v>
      </c>
      <c r="J6" s="1" t="s">
        <v>18</v>
      </c>
    </row>
    <row r="7" spans="1:10" ht="18" x14ac:dyDescent="0.2">
      <c r="A7" s="1" t="s">
        <v>222</v>
      </c>
      <c r="B7" s="2" t="s">
        <v>6</v>
      </c>
      <c r="C7" s="2" t="s">
        <v>223</v>
      </c>
      <c r="D7" s="2">
        <v>616</v>
      </c>
      <c r="E7" s="2" t="s">
        <v>207</v>
      </c>
      <c r="F7" s="4">
        <v>46125</v>
      </c>
      <c r="G7" s="2" t="s">
        <v>206</v>
      </c>
      <c r="H7" s="4">
        <v>46125</v>
      </c>
      <c r="I7" t="str">
        <v>C-GJRG</v>
      </c>
      <c r="J7" s="1" t="s">
        <v>21</v>
      </c>
    </row>
    <row r="8" spans="1:10" ht="18" x14ac:dyDescent="0.2">
      <c r="A8" s="1" t="s">
        <v>224</v>
      </c>
      <c r="B8" s="2" t="s">
        <v>6</v>
      </c>
      <c r="C8" s="2" t="s">
        <v>223</v>
      </c>
      <c r="D8" s="2">
        <v>574</v>
      </c>
      <c r="E8" s="2" t="s">
        <v>205</v>
      </c>
      <c r="F8" s="4">
        <v>45982</v>
      </c>
      <c r="G8" s="2" t="s">
        <v>206</v>
      </c>
      <c r="H8" s="4">
        <v>45891</v>
      </c>
      <c r="I8" t="str">
        <v>C-FOPE</v>
      </c>
      <c r="J8" s="1" t="s">
        <v>23</v>
      </c>
    </row>
    <row r="9" spans="1:10" ht="18" x14ac:dyDescent="0.2">
      <c r="A9" s="1" t="s">
        <v>26</v>
      </c>
      <c r="B9" s="2" t="s">
        <v>6</v>
      </c>
      <c r="C9" s="2" t="s">
        <v>13</v>
      </c>
      <c r="D9" s="2">
        <v>2455</v>
      </c>
      <c r="E9" s="2" t="s">
        <v>205</v>
      </c>
      <c r="F9" s="4">
        <v>45911</v>
      </c>
      <c r="G9" s="2" t="s">
        <v>206</v>
      </c>
      <c r="H9" s="4">
        <v>45891</v>
      </c>
      <c r="I9" t="str">
        <v>C-GKAY</v>
      </c>
      <c r="J9" s="1" t="s">
        <v>25</v>
      </c>
    </row>
    <row r="10" spans="1:10" ht="18" x14ac:dyDescent="0.2">
      <c r="A10" s="1" t="s">
        <v>26</v>
      </c>
      <c r="B10" s="2" t="s">
        <v>6</v>
      </c>
      <c r="C10" s="2" t="s">
        <v>13</v>
      </c>
      <c r="D10" s="2">
        <v>2455</v>
      </c>
      <c r="E10" s="2" t="s">
        <v>207</v>
      </c>
      <c r="F10" s="4">
        <v>45891</v>
      </c>
      <c r="G10" s="2" t="s">
        <v>206</v>
      </c>
      <c r="H10" s="4">
        <v>45891</v>
      </c>
      <c r="I10" t="str">
        <v>C-FANJ</v>
      </c>
      <c r="J10" s="1" t="s">
        <v>26</v>
      </c>
    </row>
    <row r="11" spans="1:10" ht="18" x14ac:dyDescent="0.2">
      <c r="A11" s="1" t="s">
        <v>224</v>
      </c>
      <c r="B11" s="2" t="s">
        <v>6</v>
      </c>
      <c r="C11" s="2" t="s">
        <v>223</v>
      </c>
      <c r="D11" s="2">
        <v>574</v>
      </c>
      <c r="E11" s="2" t="s">
        <v>207</v>
      </c>
      <c r="F11" s="4">
        <v>45891</v>
      </c>
      <c r="G11" s="2" t="s">
        <v>206</v>
      </c>
      <c r="H11" s="4">
        <v>45891</v>
      </c>
      <c r="I11" t="str">
        <v>C-GNGY</v>
      </c>
      <c r="J11" s="1" t="s">
        <v>28</v>
      </c>
    </row>
    <row r="12" spans="1:10" ht="18" x14ac:dyDescent="0.2">
      <c r="A12" s="1" t="s">
        <v>208</v>
      </c>
      <c r="B12" s="2" t="s">
        <v>6</v>
      </c>
      <c r="C12" s="2" t="s">
        <v>13</v>
      </c>
      <c r="D12" s="2">
        <v>2385</v>
      </c>
      <c r="E12" s="2" t="s">
        <v>205</v>
      </c>
      <c r="F12" s="4">
        <v>45699</v>
      </c>
      <c r="G12" s="2" t="s">
        <v>206</v>
      </c>
      <c r="H12" s="4">
        <v>45562</v>
      </c>
      <c r="I12" t="str">
        <v>C-GPWL</v>
      </c>
      <c r="J12" s="1" t="s">
        <v>30</v>
      </c>
    </row>
    <row r="13" spans="1:10" ht="18" x14ac:dyDescent="0.2">
      <c r="A13" s="1" t="s">
        <v>208</v>
      </c>
      <c r="B13" s="2" t="s">
        <v>6</v>
      </c>
      <c r="C13" s="2" t="s">
        <v>13</v>
      </c>
      <c r="D13" s="2">
        <v>2385</v>
      </c>
      <c r="E13" s="2" t="s">
        <v>207</v>
      </c>
      <c r="F13" s="4">
        <v>45562</v>
      </c>
      <c r="G13" s="2" t="s">
        <v>206</v>
      </c>
      <c r="H13" s="4">
        <v>45562</v>
      </c>
      <c r="I13" t="str">
        <v>C-FMDF</v>
      </c>
      <c r="J13" s="1" t="s">
        <v>32</v>
      </c>
    </row>
    <row r="14" spans="1:10" ht="18" x14ac:dyDescent="0.2">
      <c r="A14" s="1" t="s">
        <v>69</v>
      </c>
      <c r="B14" s="2" t="s">
        <v>6</v>
      </c>
      <c r="C14" s="2" t="s">
        <v>13</v>
      </c>
      <c r="D14" s="2">
        <v>1208</v>
      </c>
      <c r="E14" s="2" t="s">
        <v>205</v>
      </c>
      <c r="F14" s="4">
        <v>45306</v>
      </c>
      <c r="G14" s="2" t="s">
        <v>206</v>
      </c>
      <c r="H14" s="4">
        <v>45247</v>
      </c>
      <c r="I14" t="str">
        <v>C-GXCR</v>
      </c>
      <c r="J14" s="1" t="s">
        <v>34</v>
      </c>
    </row>
    <row r="15" spans="1:10" ht="18" x14ac:dyDescent="0.2">
      <c r="A15" s="1" t="s">
        <v>69</v>
      </c>
      <c r="B15" s="2" t="s">
        <v>6</v>
      </c>
      <c r="C15" s="2" t="s">
        <v>13</v>
      </c>
      <c r="D15" s="2">
        <v>1208</v>
      </c>
      <c r="E15" s="2" t="s">
        <v>207</v>
      </c>
      <c r="F15" s="4">
        <v>45247</v>
      </c>
      <c r="G15" s="2" t="s">
        <v>206</v>
      </c>
      <c r="H15" s="4">
        <v>45247</v>
      </c>
      <c r="I15" t="str">
        <v>C-GDGD</v>
      </c>
      <c r="J15" s="1" t="s">
        <v>36</v>
      </c>
    </row>
    <row r="16" spans="1:10" ht="18" x14ac:dyDescent="0.2">
      <c r="A16" s="1" t="s">
        <v>80</v>
      </c>
      <c r="B16" s="2" t="s">
        <v>6</v>
      </c>
      <c r="C16" s="2" t="s">
        <v>13</v>
      </c>
      <c r="D16" s="2">
        <v>2229</v>
      </c>
      <c r="E16" s="2" t="s">
        <v>205</v>
      </c>
      <c r="F16" s="4">
        <v>45061</v>
      </c>
      <c r="G16" s="2" t="s">
        <v>206</v>
      </c>
      <c r="H16" s="4">
        <v>44971</v>
      </c>
      <c r="I16" t="str">
        <v>C-GNGI</v>
      </c>
      <c r="J16" s="1" t="s">
        <v>38</v>
      </c>
    </row>
    <row r="17" spans="1:10" ht="18" x14ac:dyDescent="0.2">
      <c r="A17" s="1" t="s">
        <v>80</v>
      </c>
      <c r="B17" s="2" t="s">
        <v>6</v>
      </c>
      <c r="C17" s="2" t="s">
        <v>13</v>
      </c>
      <c r="D17" s="2">
        <v>2229</v>
      </c>
      <c r="E17" s="2" t="s">
        <v>207</v>
      </c>
      <c r="F17" s="4">
        <v>44971</v>
      </c>
      <c r="G17" s="2" t="s">
        <v>206</v>
      </c>
      <c r="H17" s="4">
        <v>44971</v>
      </c>
      <c r="I17" t="str">
        <v>C-GXTB</v>
      </c>
      <c r="J17" s="1" t="s">
        <v>40</v>
      </c>
    </row>
    <row r="18" spans="1:10" ht="18" x14ac:dyDescent="0.2">
      <c r="A18" s="1" t="s">
        <v>5</v>
      </c>
      <c r="B18" s="2" t="s">
        <v>6</v>
      </c>
      <c r="C18" s="2" t="s">
        <v>7</v>
      </c>
      <c r="D18" s="2">
        <v>178</v>
      </c>
      <c r="E18" s="2" t="s">
        <v>207</v>
      </c>
      <c r="F18" s="4">
        <v>44874</v>
      </c>
      <c r="G18" s="2" t="s">
        <v>206</v>
      </c>
      <c r="H18" s="4">
        <v>44854</v>
      </c>
      <c r="I18" t="str">
        <v>C-FKRB</v>
      </c>
      <c r="J18" s="1" t="s">
        <v>41</v>
      </c>
    </row>
    <row r="19" spans="1:10" ht="18" x14ac:dyDescent="0.2">
      <c r="A19" s="1" t="s">
        <v>72</v>
      </c>
      <c r="B19" s="2" t="s">
        <v>6</v>
      </c>
      <c r="C19" s="2" t="s">
        <v>7</v>
      </c>
      <c r="D19" s="2">
        <v>178</v>
      </c>
      <c r="E19" s="2" t="s">
        <v>205</v>
      </c>
      <c r="F19" s="4">
        <v>44874</v>
      </c>
      <c r="G19" s="2" t="s">
        <v>206</v>
      </c>
      <c r="H19" s="4">
        <v>44854</v>
      </c>
      <c r="I19" t="str">
        <v>C-FING</v>
      </c>
      <c r="J19" s="1" t="s">
        <v>43</v>
      </c>
    </row>
    <row r="20" spans="1:10" ht="18" x14ac:dyDescent="0.2">
      <c r="A20" s="1" t="s">
        <v>72</v>
      </c>
      <c r="B20" s="2" t="s">
        <v>6</v>
      </c>
      <c r="C20" s="2" t="s">
        <v>7</v>
      </c>
      <c r="D20" s="2">
        <v>178</v>
      </c>
      <c r="E20" s="2" t="s">
        <v>207</v>
      </c>
      <c r="F20" s="4">
        <v>44854</v>
      </c>
      <c r="G20" s="2" t="s">
        <v>206</v>
      </c>
      <c r="H20" s="4">
        <v>44854</v>
      </c>
      <c r="I20" t="str">
        <v>C-FWAL</v>
      </c>
      <c r="J20" s="1" t="s">
        <v>45</v>
      </c>
    </row>
    <row r="21" spans="1:10" ht="18" x14ac:dyDescent="0.2">
      <c r="A21" s="1" t="s">
        <v>88</v>
      </c>
      <c r="B21" s="2" t="s">
        <v>6</v>
      </c>
      <c r="C21" s="2" t="s">
        <v>13</v>
      </c>
      <c r="D21" s="2">
        <v>2080</v>
      </c>
      <c r="E21" s="2" t="s">
        <v>205</v>
      </c>
      <c r="F21" s="4">
        <v>44565</v>
      </c>
      <c r="G21" s="2" t="s">
        <v>206</v>
      </c>
      <c r="H21" s="4">
        <v>44337</v>
      </c>
      <c r="I21" t="str">
        <v>C-FYRH</v>
      </c>
      <c r="J21" s="1" t="s">
        <v>47</v>
      </c>
    </row>
    <row r="22" spans="1:10" ht="18" x14ac:dyDescent="0.2">
      <c r="A22" s="1" t="s">
        <v>88</v>
      </c>
      <c r="B22" s="2" t="s">
        <v>6</v>
      </c>
      <c r="C22" s="2" t="s">
        <v>13</v>
      </c>
      <c r="D22" s="2">
        <v>2080</v>
      </c>
      <c r="E22" s="2" t="s">
        <v>207</v>
      </c>
      <c r="F22" s="4">
        <v>44463</v>
      </c>
      <c r="G22" s="2" t="s">
        <v>206</v>
      </c>
      <c r="H22" s="4">
        <v>44337</v>
      </c>
      <c r="I22" t="str">
        <v>C-FPCL</v>
      </c>
      <c r="J22" s="1" t="s">
        <v>49</v>
      </c>
    </row>
    <row r="23" spans="1:10" ht="18" x14ac:dyDescent="0.2">
      <c r="A23" s="1" t="s">
        <v>209</v>
      </c>
      <c r="B23" s="2" t="s">
        <v>6</v>
      </c>
      <c r="C23" s="2" t="s">
        <v>13</v>
      </c>
      <c r="D23" s="2">
        <v>2080</v>
      </c>
      <c r="E23" s="2" t="s">
        <v>205</v>
      </c>
      <c r="F23" s="4">
        <v>44463</v>
      </c>
      <c r="G23" s="2" t="s">
        <v>206</v>
      </c>
      <c r="H23" s="4">
        <v>44337</v>
      </c>
      <c r="I23" t="str">
        <v>C-GSNG</v>
      </c>
      <c r="J23" s="1" t="s">
        <v>50</v>
      </c>
    </row>
    <row r="24" spans="1:10" ht="18" x14ac:dyDescent="0.2">
      <c r="A24" s="1" t="s">
        <v>210</v>
      </c>
      <c r="B24" s="2" t="s">
        <v>6</v>
      </c>
      <c r="C24" s="2" t="s">
        <v>13</v>
      </c>
      <c r="D24" s="2">
        <v>1550</v>
      </c>
      <c r="E24" s="2" t="s">
        <v>205</v>
      </c>
      <c r="F24" s="4">
        <v>44446</v>
      </c>
      <c r="G24" s="2" t="s">
        <v>206</v>
      </c>
      <c r="H24" s="4">
        <v>44349</v>
      </c>
      <c r="I24" t="str">
        <v>C-GBXW</v>
      </c>
      <c r="J24" s="1" t="s">
        <v>52</v>
      </c>
    </row>
    <row r="25" spans="1:10" ht="18" x14ac:dyDescent="0.2">
      <c r="A25" s="1" t="s">
        <v>210</v>
      </c>
      <c r="B25" s="2" t="s">
        <v>6</v>
      </c>
      <c r="C25" s="2" t="s">
        <v>13</v>
      </c>
      <c r="D25" s="2">
        <v>1550</v>
      </c>
      <c r="E25" s="2" t="s">
        <v>207</v>
      </c>
      <c r="F25" s="4">
        <v>44354</v>
      </c>
      <c r="G25" s="2" t="s">
        <v>206</v>
      </c>
      <c r="H25" s="4">
        <v>44349</v>
      </c>
      <c r="I25" t="str">
        <v>C-GPNG</v>
      </c>
      <c r="J25" s="1" t="s">
        <v>53</v>
      </c>
    </row>
    <row r="26" spans="1:10" ht="18" x14ac:dyDescent="0.2">
      <c r="A26" s="1" t="s">
        <v>211</v>
      </c>
      <c r="B26" s="2" t="s">
        <v>6</v>
      </c>
      <c r="C26" s="2" t="s">
        <v>13</v>
      </c>
      <c r="D26" s="2">
        <v>1550</v>
      </c>
      <c r="E26" s="2" t="s">
        <v>205</v>
      </c>
      <c r="F26" s="4">
        <v>44354</v>
      </c>
      <c r="G26" s="2" t="s">
        <v>206</v>
      </c>
      <c r="H26" s="4">
        <v>44349</v>
      </c>
      <c r="I26" t="str">
        <v>C-GVKC</v>
      </c>
      <c r="J26" s="1" t="s">
        <v>55</v>
      </c>
    </row>
    <row r="27" spans="1:10" ht="18" x14ac:dyDescent="0.2">
      <c r="A27" s="1" t="s">
        <v>211</v>
      </c>
      <c r="B27" s="2" t="s">
        <v>6</v>
      </c>
      <c r="C27" s="2" t="s">
        <v>13</v>
      </c>
      <c r="D27" s="2">
        <v>1550</v>
      </c>
      <c r="E27" s="2" t="s">
        <v>207</v>
      </c>
      <c r="F27" s="4">
        <v>44349</v>
      </c>
      <c r="G27" s="2" t="s">
        <v>206</v>
      </c>
      <c r="H27" s="4">
        <v>44349</v>
      </c>
      <c r="I27" t="str">
        <v>C-GPCO</v>
      </c>
      <c r="J27" s="1" t="s">
        <v>56</v>
      </c>
    </row>
    <row r="28" spans="1:10" ht="18" x14ac:dyDescent="0.2">
      <c r="A28" s="1" t="s">
        <v>209</v>
      </c>
      <c r="B28" s="2" t="s">
        <v>6</v>
      </c>
      <c r="C28" s="2" t="s">
        <v>13</v>
      </c>
      <c r="D28" s="2">
        <v>2080</v>
      </c>
      <c r="E28" s="2" t="s">
        <v>207</v>
      </c>
      <c r="F28" s="4">
        <v>44337</v>
      </c>
      <c r="G28" s="2" t="s">
        <v>206</v>
      </c>
      <c r="H28" s="4">
        <v>44337</v>
      </c>
      <c r="I28" t="str">
        <v>C-GPAI</v>
      </c>
      <c r="J28" s="1" t="s">
        <v>57</v>
      </c>
    </row>
    <row r="29" spans="1:10" ht="18" x14ac:dyDescent="0.2">
      <c r="A29" s="1" t="s">
        <v>103</v>
      </c>
      <c r="B29" s="2" t="s">
        <v>6</v>
      </c>
      <c r="C29" s="2" t="s">
        <v>7</v>
      </c>
      <c r="D29" s="2">
        <v>193</v>
      </c>
      <c r="E29" s="2" t="s">
        <v>205</v>
      </c>
      <c r="F29" s="4">
        <v>44167</v>
      </c>
      <c r="G29" s="2" t="s">
        <v>206</v>
      </c>
      <c r="H29" s="4">
        <v>44040</v>
      </c>
      <c r="I29" t="str">
        <v>C-GODE</v>
      </c>
      <c r="J29" s="1" t="s">
        <v>59</v>
      </c>
    </row>
    <row r="30" spans="1:10" ht="18" x14ac:dyDescent="0.2">
      <c r="A30" s="1" t="s">
        <v>103</v>
      </c>
      <c r="B30" s="2" t="s">
        <v>6</v>
      </c>
      <c r="C30" s="2" t="s">
        <v>7</v>
      </c>
      <c r="D30" s="2">
        <v>193</v>
      </c>
      <c r="E30" s="2" t="s">
        <v>207</v>
      </c>
      <c r="F30" s="4">
        <v>44127</v>
      </c>
      <c r="G30" s="2" t="s">
        <v>206</v>
      </c>
      <c r="H30" s="4">
        <v>44040</v>
      </c>
      <c r="I30" t="str">
        <v>C-GMPW</v>
      </c>
      <c r="J30" s="1" t="s">
        <v>60</v>
      </c>
    </row>
    <row r="31" spans="1:10" ht="18" x14ac:dyDescent="0.2">
      <c r="A31" s="1" t="s">
        <v>212</v>
      </c>
      <c r="B31" s="2" t="s">
        <v>6</v>
      </c>
      <c r="C31" s="2" t="s">
        <v>7</v>
      </c>
      <c r="D31" s="2">
        <v>193</v>
      </c>
      <c r="E31" s="2" t="s">
        <v>205</v>
      </c>
      <c r="F31" s="4">
        <v>44127</v>
      </c>
      <c r="G31" s="2" t="s">
        <v>206</v>
      </c>
      <c r="H31" s="4">
        <v>44040</v>
      </c>
      <c r="I31" t="str">
        <v>C-GMLF</v>
      </c>
      <c r="J31" s="1" t="s">
        <v>62</v>
      </c>
    </row>
    <row r="32" spans="1:10" ht="18" x14ac:dyDescent="0.2">
      <c r="A32" s="1" t="s">
        <v>212</v>
      </c>
      <c r="B32" s="2" t="s">
        <v>6</v>
      </c>
      <c r="C32" s="2" t="s">
        <v>7</v>
      </c>
      <c r="D32" s="2">
        <v>193</v>
      </c>
      <c r="E32" s="2" t="s">
        <v>207</v>
      </c>
      <c r="F32" s="4">
        <v>44040</v>
      </c>
      <c r="G32" s="2" t="s">
        <v>206</v>
      </c>
      <c r="H32" s="4">
        <v>44040</v>
      </c>
      <c r="I32" t="str">
        <v>C-GMAE</v>
      </c>
      <c r="J32" s="1" t="s">
        <v>64</v>
      </c>
    </row>
    <row r="33" spans="1:10" ht="18" x14ac:dyDescent="0.2">
      <c r="A33" s="1" t="s">
        <v>41</v>
      </c>
      <c r="B33" s="2" t="s">
        <v>6</v>
      </c>
      <c r="C33" s="2" t="s">
        <v>13</v>
      </c>
      <c r="D33" s="2">
        <v>1854</v>
      </c>
      <c r="E33" s="2" t="s">
        <v>205</v>
      </c>
      <c r="F33" s="4">
        <v>43829</v>
      </c>
      <c r="G33" s="2" t="s">
        <v>206</v>
      </c>
      <c r="H33" s="4">
        <v>43578</v>
      </c>
      <c r="I33" t="str">
        <v>C-GKVT</v>
      </c>
      <c r="J33" s="1" t="s">
        <v>65</v>
      </c>
    </row>
    <row r="34" spans="1:10" ht="18" x14ac:dyDescent="0.2">
      <c r="A34" s="1" t="s">
        <v>113</v>
      </c>
      <c r="B34" s="2" t="s">
        <v>6</v>
      </c>
      <c r="C34" s="2" t="s">
        <v>19</v>
      </c>
      <c r="D34" s="2">
        <v>794</v>
      </c>
      <c r="E34" s="2" t="s">
        <v>205</v>
      </c>
      <c r="F34" s="4">
        <v>43650</v>
      </c>
      <c r="G34" s="2" t="s">
        <v>206</v>
      </c>
      <c r="H34" s="4">
        <v>43315</v>
      </c>
      <c r="I34" t="str">
        <v>C-GKRY</v>
      </c>
      <c r="J34" s="1" t="s">
        <v>66</v>
      </c>
    </row>
    <row r="35" spans="1:10" ht="18" x14ac:dyDescent="0.2">
      <c r="A35" s="1" t="s">
        <v>41</v>
      </c>
      <c r="B35" s="2" t="s">
        <v>6</v>
      </c>
      <c r="C35" s="2" t="s">
        <v>13</v>
      </c>
      <c r="D35" s="2">
        <v>1854</v>
      </c>
      <c r="E35" s="2" t="s">
        <v>207</v>
      </c>
      <c r="F35" s="4">
        <v>43578</v>
      </c>
      <c r="G35" s="2" t="s">
        <v>206</v>
      </c>
      <c r="H35" s="4">
        <v>43578</v>
      </c>
      <c r="I35" t="str">
        <v>C-GKPL</v>
      </c>
      <c r="J35" s="1" t="s">
        <v>67</v>
      </c>
    </row>
    <row r="36" spans="1:10" ht="18" x14ac:dyDescent="0.2">
      <c r="A36" s="1" t="s">
        <v>41</v>
      </c>
      <c r="B36" s="2" t="s">
        <v>6</v>
      </c>
      <c r="C36" s="2" t="s">
        <v>13</v>
      </c>
      <c r="D36" s="2">
        <v>1854</v>
      </c>
      <c r="E36" s="2" t="s">
        <v>207</v>
      </c>
      <c r="F36" s="4">
        <v>43578</v>
      </c>
      <c r="G36" s="2" t="s">
        <v>206</v>
      </c>
      <c r="H36" s="4">
        <v>43578</v>
      </c>
      <c r="I36" t="str">
        <v>C-GKNR</v>
      </c>
      <c r="J36" s="1" t="s">
        <v>68</v>
      </c>
    </row>
    <row r="37" spans="1:10" ht="18" x14ac:dyDescent="0.2">
      <c r="A37" s="1" t="s">
        <v>41</v>
      </c>
      <c r="B37" s="2" t="s">
        <v>6</v>
      </c>
      <c r="C37" s="2" t="s">
        <v>13</v>
      </c>
      <c r="D37" s="2">
        <v>1854</v>
      </c>
      <c r="E37" s="2" t="s">
        <v>207</v>
      </c>
      <c r="F37" s="4">
        <v>43578</v>
      </c>
      <c r="G37" s="2" t="s">
        <v>206</v>
      </c>
      <c r="H37" s="4">
        <v>43578</v>
      </c>
      <c r="I37" t="str">
        <v>C-GFLA</v>
      </c>
      <c r="J37" s="1" t="s">
        <v>69</v>
      </c>
    </row>
    <row r="38" spans="1:10" ht="18" x14ac:dyDescent="0.2">
      <c r="A38" s="1" t="s">
        <v>213</v>
      </c>
      <c r="B38" s="2" t="s">
        <v>6</v>
      </c>
      <c r="C38" s="2" t="s">
        <v>7</v>
      </c>
      <c r="D38" s="2">
        <v>233</v>
      </c>
      <c r="E38" s="2" t="s">
        <v>214</v>
      </c>
      <c r="F38" s="4">
        <v>43536</v>
      </c>
      <c r="G38" s="2" t="s">
        <v>206</v>
      </c>
      <c r="H38" s="4">
        <v>42488</v>
      </c>
      <c r="I38" t="str">
        <v>C-GFIL</v>
      </c>
      <c r="J38" s="1" t="s">
        <v>70</v>
      </c>
    </row>
    <row r="39" spans="1:10" ht="18" x14ac:dyDescent="0.2">
      <c r="A39" s="1" t="s">
        <v>213</v>
      </c>
      <c r="B39" s="2" t="s">
        <v>6</v>
      </c>
      <c r="C39" s="2" t="s">
        <v>7</v>
      </c>
      <c r="D39" s="2">
        <v>233</v>
      </c>
      <c r="E39" s="2" t="s">
        <v>205</v>
      </c>
      <c r="F39" s="4">
        <v>43532</v>
      </c>
      <c r="G39" s="2" t="s">
        <v>206</v>
      </c>
      <c r="H39" s="4">
        <v>42488</v>
      </c>
      <c r="I39" t="str">
        <v>C-GECT</v>
      </c>
      <c r="J39" s="1" t="s">
        <v>71</v>
      </c>
    </row>
    <row r="40" spans="1:10" ht="18" x14ac:dyDescent="0.2">
      <c r="A40" s="1" t="s">
        <v>215</v>
      </c>
      <c r="B40" s="2" t="s">
        <v>6</v>
      </c>
      <c r="C40" s="2" t="s">
        <v>13</v>
      </c>
      <c r="D40" s="2">
        <v>1809</v>
      </c>
      <c r="E40" s="2" t="s">
        <v>205</v>
      </c>
      <c r="F40" s="4">
        <v>43531</v>
      </c>
      <c r="G40" s="2" t="s">
        <v>206</v>
      </c>
      <c r="H40" s="4">
        <v>43363</v>
      </c>
      <c r="I40" t="str">
        <v>C-GBTL</v>
      </c>
      <c r="J40" s="1" t="s">
        <v>72</v>
      </c>
    </row>
    <row r="41" spans="1:10" ht="18" x14ac:dyDescent="0.2">
      <c r="A41" s="1" t="s">
        <v>215</v>
      </c>
      <c r="B41" s="2" t="s">
        <v>6</v>
      </c>
      <c r="C41" s="2" t="s">
        <v>13</v>
      </c>
      <c r="D41" s="2">
        <v>1809</v>
      </c>
      <c r="E41" s="2" t="s">
        <v>207</v>
      </c>
      <c r="F41" s="4">
        <v>43363</v>
      </c>
      <c r="G41" s="2" t="s">
        <v>206</v>
      </c>
      <c r="H41" s="4">
        <v>43363</v>
      </c>
      <c r="I41" t="str">
        <v>C-FYZS</v>
      </c>
      <c r="J41" s="1" t="s">
        <v>74</v>
      </c>
    </row>
    <row r="42" spans="1:10" ht="18" x14ac:dyDescent="0.2">
      <c r="A42" s="1" t="s">
        <v>215</v>
      </c>
      <c r="B42" s="2" t="s">
        <v>6</v>
      </c>
      <c r="C42" s="2" t="s">
        <v>13</v>
      </c>
      <c r="D42" s="2">
        <v>1809</v>
      </c>
      <c r="E42" s="2" t="s">
        <v>207</v>
      </c>
      <c r="F42" s="4">
        <v>43363</v>
      </c>
      <c r="G42" s="2" t="s">
        <v>206</v>
      </c>
      <c r="H42" s="4">
        <v>43363</v>
      </c>
      <c r="I42" t="str">
        <v>C-FYUT</v>
      </c>
      <c r="J42" s="1" t="s">
        <v>75</v>
      </c>
    </row>
    <row r="43" spans="1:10" ht="18" x14ac:dyDescent="0.2">
      <c r="A43" s="1" t="s">
        <v>118</v>
      </c>
      <c r="B43" s="2" t="s">
        <v>6</v>
      </c>
      <c r="C43" s="2" t="s">
        <v>19</v>
      </c>
      <c r="D43" s="2">
        <v>776</v>
      </c>
      <c r="E43" s="2" t="s">
        <v>205</v>
      </c>
      <c r="F43" s="4">
        <v>43335</v>
      </c>
      <c r="G43" s="2" t="s">
        <v>206</v>
      </c>
      <c r="H43" s="4">
        <v>43178</v>
      </c>
      <c r="I43" t="str">
        <v>C-FXAB</v>
      </c>
      <c r="J43" s="1" t="s">
        <v>76</v>
      </c>
    </row>
    <row r="44" spans="1:10" ht="18" x14ac:dyDescent="0.2">
      <c r="A44" s="1" t="s">
        <v>113</v>
      </c>
      <c r="B44" s="2" t="s">
        <v>6</v>
      </c>
      <c r="C44" s="2" t="s">
        <v>19</v>
      </c>
      <c r="D44" s="2">
        <v>794</v>
      </c>
      <c r="E44" s="2" t="s">
        <v>207</v>
      </c>
      <c r="F44" s="4">
        <v>43319</v>
      </c>
      <c r="G44" s="2" t="s">
        <v>206</v>
      </c>
      <c r="H44" s="4">
        <v>43315</v>
      </c>
      <c r="I44" t="str">
        <v>C-FVPK</v>
      </c>
      <c r="J44" s="1" t="s">
        <v>77</v>
      </c>
    </row>
    <row r="45" spans="1:10" ht="18" x14ac:dyDescent="0.2">
      <c r="A45" s="1" t="s">
        <v>113</v>
      </c>
      <c r="B45" s="2" t="s">
        <v>6</v>
      </c>
      <c r="C45" s="2" t="s">
        <v>19</v>
      </c>
      <c r="D45" s="2">
        <v>794</v>
      </c>
      <c r="E45" s="2" t="s">
        <v>207</v>
      </c>
      <c r="F45" s="4">
        <v>43315</v>
      </c>
      <c r="G45" s="2" t="s">
        <v>206</v>
      </c>
      <c r="H45" s="4">
        <v>43315</v>
      </c>
      <c r="I45" t="str">
        <v>C-FVPC</v>
      </c>
      <c r="J45" s="1" t="s">
        <v>78</v>
      </c>
    </row>
    <row r="46" spans="1:10" ht="18" x14ac:dyDescent="0.2">
      <c r="A46" s="1" t="s">
        <v>113</v>
      </c>
      <c r="B46" s="2" t="s">
        <v>6</v>
      </c>
      <c r="C46" s="2" t="s">
        <v>19</v>
      </c>
      <c r="D46" s="2">
        <v>794</v>
      </c>
      <c r="E46" s="2" t="s">
        <v>207</v>
      </c>
      <c r="F46" s="4">
        <v>43315</v>
      </c>
      <c r="G46" s="2" t="s">
        <v>206</v>
      </c>
      <c r="H46" s="4">
        <v>43315</v>
      </c>
      <c r="I46" t="str">
        <v>C-FSRK</v>
      </c>
      <c r="J46" s="1" t="s">
        <v>80</v>
      </c>
    </row>
    <row r="47" spans="1:10" ht="18" x14ac:dyDescent="0.2">
      <c r="A47" s="1" t="s">
        <v>113</v>
      </c>
      <c r="B47" s="2" t="s">
        <v>6</v>
      </c>
      <c r="C47" s="2" t="s">
        <v>19</v>
      </c>
      <c r="D47" s="2">
        <v>794</v>
      </c>
      <c r="E47" s="2" t="s">
        <v>207</v>
      </c>
      <c r="F47" s="4">
        <v>43315</v>
      </c>
      <c r="G47" s="2" t="s">
        <v>206</v>
      </c>
      <c r="H47" s="4">
        <v>43315</v>
      </c>
      <c r="I47" t="str">
        <v>C-FPNG</v>
      </c>
      <c r="J47" s="1" t="s">
        <v>82</v>
      </c>
    </row>
    <row r="48" spans="1:10" ht="18" x14ac:dyDescent="0.2">
      <c r="A48" s="1" t="s">
        <v>119</v>
      </c>
      <c r="B48" s="2" t="s">
        <v>6</v>
      </c>
      <c r="C48" s="2" t="s">
        <v>19</v>
      </c>
      <c r="D48" s="2">
        <v>729</v>
      </c>
      <c r="E48" s="2" t="s">
        <v>205</v>
      </c>
      <c r="F48" s="4">
        <v>43287</v>
      </c>
      <c r="G48" s="2" t="s">
        <v>206</v>
      </c>
      <c r="H48" s="4">
        <v>43119</v>
      </c>
      <c r="I48" t="str">
        <v>C-FPCZ</v>
      </c>
      <c r="J48" s="1" t="s">
        <v>84</v>
      </c>
    </row>
    <row r="49" spans="1:10" ht="18" x14ac:dyDescent="0.2">
      <c r="A49" s="1" t="s">
        <v>121</v>
      </c>
      <c r="B49" s="2" t="s">
        <v>6</v>
      </c>
      <c r="C49" s="2" t="s">
        <v>7</v>
      </c>
      <c r="D49" s="2">
        <v>276</v>
      </c>
      <c r="E49" s="2" t="s">
        <v>205</v>
      </c>
      <c r="F49" s="4">
        <v>43179</v>
      </c>
      <c r="G49" s="2" t="s">
        <v>206</v>
      </c>
      <c r="H49" s="4">
        <v>41878</v>
      </c>
      <c r="I49" t="str">
        <v>C-FNAS</v>
      </c>
      <c r="J49" s="1" t="s">
        <v>85</v>
      </c>
    </row>
    <row r="50" spans="1:10" ht="18" x14ac:dyDescent="0.2">
      <c r="A50" s="1" t="s">
        <v>118</v>
      </c>
      <c r="B50" s="2" t="s">
        <v>6</v>
      </c>
      <c r="C50" s="2" t="s">
        <v>19</v>
      </c>
      <c r="D50" s="2">
        <v>776</v>
      </c>
      <c r="E50" s="2" t="s">
        <v>207</v>
      </c>
      <c r="F50" s="4">
        <v>43178</v>
      </c>
      <c r="G50" s="2" t="s">
        <v>206</v>
      </c>
      <c r="H50" s="4">
        <v>43178</v>
      </c>
      <c r="I50" t="str">
        <v>C-FMPN</v>
      </c>
      <c r="J50" s="1" t="s">
        <v>86</v>
      </c>
    </row>
    <row r="51" spans="1:10" ht="18" x14ac:dyDescent="0.2">
      <c r="A51" s="1" t="s">
        <v>118</v>
      </c>
      <c r="B51" s="2" t="s">
        <v>6</v>
      </c>
      <c r="C51" s="2" t="s">
        <v>19</v>
      </c>
      <c r="D51" s="2">
        <v>776</v>
      </c>
      <c r="E51" s="2" t="s">
        <v>207</v>
      </c>
      <c r="F51" s="4">
        <v>43178</v>
      </c>
      <c r="G51" s="2" t="s">
        <v>206</v>
      </c>
      <c r="H51" s="4">
        <v>43178</v>
      </c>
      <c r="I51" t="str">
        <v>C-FMPF</v>
      </c>
      <c r="J51" s="1" t="s">
        <v>87</v>
      </c>
    </row>
    <row r="52" spans="1:10" ht="18" x14ac:dyDescent="0.2">
      <c r="A52" s="1" t="s">
        <v>119</v>
      </c>
      <c r="B52" s="2" t="s">
        <v>6</v>
      </c>
      <c r="C52" s="2" t="s">
        <v>19</v>
      </c>
      <c r="D52" s="2">
        <v>729</v>
      </c>
      <c r="E52" s="2" t="s">
        <v>207</v>
      </c>
      <c r="F52" s="4">
        <v>43119</v>
      </c>
      <c r="G52" s="2" t="s">
        <v>206</v>
      </c>
      <c r="H52" s="4">
        <v>43119</v>
      </c>
      <c r="I52" t="str">
        <v>C-FMPA</v>
      </c>
      <c r="J52" s="1" t="s">
        <v>88</v>
      </c>
    </row>
    <row r="53" spans="1:10" ht="18" x14ac:dyDescent="0.2">
      <c r="A53" s="1" t="s">
        <v>119</v>
      </c>
      <c r="B53" s="2" t="s">
        <v>6</v>
      </c>
      <c r="C53" s="2" t="s">
        <v>19</v>
      </c>
      <c r="D53" s="2">
        <v>729</v>
      </c>
      <c r="E53" s="2" t="s">
        <v>207</v>
      </c>
      <c r="F53" s="4">
        <v>43119</v>
      </c>
      <c r="G53" s="2" t="s">
        <v>206</v>
      </c>
      <c r="H53" s="4">
        <v>43119</v>
      </c>
      <c r="I53" t="str">
        <v>C-FKVL</v>
      </c>
      <c r="J53" s="1" t="s">
        <v>89</v>
      </c>
    </row>
    <row r="54" spans="1:10" ht="18" x14ac:dyDescent="0.2">
      <c r="A54" s="1" t="s">
        <v>216</v>
      </c>
      <c r="B54" s="2" t="s">
        <v>6</v>
      </c>
      <c r="C54" s="2" t="s">
        <v>13</v>
      </c>
      <c r="D54" s="2">
        <v>1680</v>
      </c>
      <c r="E54" s="2" t="s">
        <v>205</v>
      </c>
      <c r="F54" s="4">
        <v>42990</v>
      </c>
      <c r="G54" s="2" t="s">
        <v>206</v>
      </c>
      <c r="H54" s="4">
        <v>42816</v>
      </c>
      <c r="I54" t="str">
        <v>C-FKUL</v>
      </c>
      <c r="J54" s="1" t="s">
        <v>90</v>
      </c>
    </row>
    <row r="55" spans="1:10" ht="18" x14ac:dyDescent="0.2">
      <c r="A55" s="1" t="s">
        <v>217</v>
      </c>
      <c r="B55" s="2" t="s">
        <v>6</v>
      </c>
      <c r="C55" s="2" t="s">
        <v>7</v>
      </c>
      <c r="D55" s="2">
        <v>170</v>
      </c>
      <c r="E55" s="2" t="s">
        <v>214</v>
      </c>
      <c r="F55" s="4">
        <v>42853</v>
      </c>
      <c r="G55" s="2" t="s">
        <v>206</v>
      </c>
      <c r="H55" s="4">
        <v>41758</v>
      </c>
      <c r="I55" t="str">
        <v>C-FKSL</v>
      </c>
      <c r="J55" s="1" t="s">
        <v>92</v>
      </c>
    </row>
    <row r="56" spans="1:10" ht="18" x14ac:dyDescent="0.2">
      <c r="A56" s="1" t="s">
        <v>217</v>
      </c>
      <c r="B56" s="2" t="s">
        <v>6</v>
      </c>
      <c r="C56" s="2" t="s">
        <v>7</v>
      </c>
      <c r="D56" s="2">
        <v>170</v>
      </c>
      <c r="E56" s="2" t="s">
        <v>205</v>
      </c>
      <c r="F56" s="4">
        <v>42853</v>
      </c>
      <c r="G56" s="2" t="s">
        <v>206</v>
      </c>
      <c r="H56" s="4">
        <v>41758</v>
      </c>
      <c r="I56" t="str">
        <v>C-FKPX</v>
      </c>
      <c r="J56" s="1" t="s">
        <v>93</v>
      </c>
    </row>
    <row r="57" spans="1:10" ht="18" x14ac:dyDescent="0.2">
      <c r="A57" s="1" t="s">
        <v>9</v>
      </c>
      <c r="B57" s="2" t="s">
        <v>6</v>
      </c>
      <c r="C57" s="2" t="s">
        <v>7</v>
      </c>
      <c r="D57" s="2">
        <v>399</v>
      </c>
      <c r="E57" s="2" t="s">
        <v>207</v>
      </c>
      <c r="F57" s="4">
        <v>42817</v>
      </c>
      <c r="G57" s="2" t="s">
        <v>206</v>
      </c>
      <c r="H57" s="4">
        <v>42816</v>
      </c>
      <c r="I57" t="str">
        <v>C-FKPI</v>
      </c>
      <c r="J57" s="1" t="s">
        <v>94</v>
      </c>
    </row>
    <row r="58" spans="1:10" ht="18" x14ac:dyDescent="0.2">
      <c r="A58" s="1" t="s">
        <v>216</v>
      </c>
      <c r="B58" s="2" t="s">
        <v>6</v>
      </c>
      <c r="C58" s="2" t="s">
        <v>13</v>
      </c>
      <c r="D58" s="2">
        <v>1680</v>
      </c>
      <c r="E58" s="2" t="s">
        <v>207</v>
      </c>
      <c r="F58" s="4">
        <v>42816</v>
      </c>
      <c r="G58" s="2" t="s">
        <v>206</v>
      </c>
      <c r="H58" s="4">
        <v>42816</v>
      </c>
      <c r="I58" t="str">
        <v>C-FKPA</v>
      </c>
      <c r="J58" s="1" t="s">
        <v>96</v>
      </c>
    </row>
    <row r="59" spans="1:10" ht="18" x14ac:dyDescent="0.2">
      <c r="A59" s="1" t="s">
        <v>216</v>
      </c>
      <c r="B59" s="2" t="s">
        <v>6</v>
      </c>
      <c r="C59" s="2" t="s">
        <v>13</v>
      </c>
      <c r="D59" s="2">
        <v>1680</v>
      </c>
      <c r="E59" s="2" t="s">
        <v>207</v>
      </c>
      <c r="F59" s="4">
        <v>42816</v>
      </c>
      <c r="G59" s="2" t="s">
        <v>206</v>
      </c>
      <c r="H59" s="4">
        <v>42816</v>
      </c>
      <c r="I59" t="str">
        <v>C-FKGA</v>
      </c>
      <c r="J59" s="1" t="s">
        <v>97</v>
      </c>
    </row>
    <row r="60" spans="1:10" ht="18" x14ac:dyDescent="0.2">
      <c r="A60" s="1" t="s">
        <v>218</v>
      </c>
      <c r="B60" s="2" t="s">
        <v>6</v>
      </c>
      <c r="C60" s="2" t="s">
        <v>13</v>
      </c>
      <c r="D60" s="2">
        <v>1618</v>
      </c>
      <c r="E60" s="2" t="s">
        <v>205</v>
      </c>
      <c r="F60" s="4">
        <v>42676</v>
      </c>
      <c r="G60" s="2" t="s">
        <v>206</v>
      </c>
      <c r="H60" s="4">
        <v>42550</v>
      </c>
      <c r="I60" t="str">
        <v>C-FKAE</v>
      </c>
      <c r="J60" s="1" t="s">
        <v>98</v>
      </c>
    </row>
    <row r="61" spans="1:10" ht="18" x14ac:dyDescent="0.2">
      <c r="A61" s="1" t="s">
        <v>218</v>
      </c>
      <c r="B61" s="2" t="s">
        <v>6</v>
      </c>
      <c r="C61" s="2" t="s">
        <v>13</v>
      </c>
      <c r="D61" s="2">
        <v>1618</v>
      </c>
      <c r="E61" s="2" t="s">
        <v>207</v>
      </c>
      <c r="F61" s="4">
        <v>42551</v>
      </c>
      <c r="G61" s="2" t="s">
        <v>206</v>
      </c>
      <c r="H61" s="4">
        <v>42550</v>
      </c>
      <c r="I61" t="str">
        <v>C-FKAC</v>
      </c>
      <c r="J61" s="1" t="s">
        <v>99</v>
      </c>
    </row>
    <row r="62" spans="1:10" ht="18" x14ac:dyDescent="0.2">
      <c r="A62" s="1" t="s">
        <v>139</v>
      </c>
      <c r="B62" s="2" t="s">
        <v>6</v>
      </c>
      <c r="C62" s="2" t="s">
        <v>7</v>
      </c>
      <c r="D62" s="2">
        <v>207</v>
      </c>
      <c r="E62" s="2" t="s">
        <v>205</v>
      </c>
      <c r="F62" s="4">
        <v>39618</v>
      </c>
      <c r="G62" s="2" t="s">
        <v>225</v>
      </c>
      <c r="H62" s="4">
        <v>39388</v>
      </c>
      <c r="I62" t="str">
        <v>C-FIJV</v>
      </c>
      <c r="J62" s="1" t="s">
        <v>100</v>
      </c>
    </row>
    <row r="63" spans="1:10" ht="18" x14ac:dyDescent="0.2">
      <c r="A63" s="1" t="s">
        <v>139</v>
      </c>
      <c r="B63" s="2" t="s">
        <v>6</v>
      </c>
      <c r="C63" s="2" t="s">
        <v>7</v>
      </c>
      <c r="D63" s="2">
        <v>207</v>
      </c>
      <c r="E63" s="2" t="s">
        <v>207</v>
      </c>
      <c r="F63" s="4">
        <v>39388</v>
      </c>
      <c r="G63" s="2" t="s">
        <v>225</v>
      </c>
      <c r="H63" s="4">
        <v>39388</v>
      </c>
      <c r="I63" t="str">
        <v>C-FGRE</v>
      </c>
      <c r="J63" s="1" t="s">
        <v>101</v>
      </c>
    </row>
    <row r="64" spans="1:10" ht="18" x14ac:dyDescent="0.2">
      <c r="A64" s="1" t="s">
        <v>227</v>
      </c>
      <c r="B64" s="2" t="s">
        <v>6</v>
      </c>
      <c r="C64" s="2" t="s">
        <v>7</v>
      </c>
      <c r="D64" s="2">
        <v>603</v>
      </c>
      <c r="E64" s="2" t="s">
        <v>205</v>
      </c>
      <c r="F64" s="4">
        <v>38544</v>
      </c>
      <c r="G64" s="2" t="s">
        <v>225</v>
      </c>
      <c r="H64" s="4">
        <v>38350</v>
      </c>
      <c r="I64" t="str">
        <v>C-FGFL</v>
      </c>
      <c r="J64" s="1" t="s">
        <v>102</v>
      </c>
    </row>
    <row r="65" spans="1:10" ht="18" x14ac:dyDescent="0.2">
      <c r="A65" s="1" t="s">
        <v>227</v>
      </c>
      <c r="B65" s="2" t="s">
        <v>6</v>
      </c>
      <c r="C65" s="2" t="s">
        <v>7</v>
      </c>
      <c r="D65" s="2">
        <v>603</v>
      </c>
      <c r="E65" s="2" t="s">
        <v>207</v>
      </c>
      <c r="F65" s="4">
        <v>38357</v>
      </c>
      <c r="G65" s="2" t="s">
        <v>225</v>
      </c>
      <c r="H65" s="4">
        <v>38350</v>
      </c>
      <c r="I65" t="str">
        <v>C-FDLV</v>
      </c>
      <c r="J65" s="1" t="s">
        <v>103</v>
      </c>
    </row>
    <row r="66" spans="1:10" ht="18" x14ac:dyDescent="0.2">
      <c r="A66" s="1" t="s">
        <v>227</v>
      </c>
      <c r="B66" s="2" t="s">
        <v>6</v>
      </c>
      <c r="C66" s="2" t="s">
        <v>7</v>
      </c>
      <c r="D66" s="2">
        <v>603</v>
      </c>
      <c r="E66" s="2" t="s">
        <v>207</v>
      </c>
      <c r="F66" s="4">
        <v>38351</v>
      </c>
      <c r="G66" s="2" t="s">
        <v>225</v>
      </c>
      <c r="H66" s="4">
        <v>38350</v>
      </c>
      <c r="I66" t="str">
        <v>C-FCJV</v>
      </c>
      <c r="J66" s="1" t="s">
        <v>104</v>
      </c>
    </row>
    <row r="67" spans="1:10" ht="18" x14ac:dyDescent="0.2">
      <c r="A67" s="1" t="s">
        <v>228</v>
      </c>
      <c r="B67" s="2" t="s">
        <v>6</v>
      </c>
      <c r="C67" s="2" t="s">
        <v>7</v>
      </c>
      <c r="D67" s="2">
        <v>491</v>
      </c>
      <c r="E67" s="2" t="s">
        <v>205</v>
      </c>
      <c r="F67" s="4">
        <v>38989</v>
      </c>
      <c r="G67" s="2" t="s">
        <v>225</v>
      </c>
      <c r="H67" s="4">
        <v>38575</v>
      </c>
      <c r="I67" t="str">
        <v>C-FAXY</v>
      </c>
      <c r="J67" s="1" t="s">
        <v>105</v>
      </c>
    </row>
    <row r="68" spans="1:10" ht="18" x14ac:dyDescent="0.2">
      <c r="A68" s="1" t="s">
        <v>228</v>
      </c>
      <c r="B68" s="2" t="s">
        <v>6</v>
      </c>
      <c r="C68" s="2" t="s">
        <v>7</v>
      </c>
      <c r="D68" s="2">
        <v>491</v>
      </c>
      <c r="E68" s="2" t="s">
        <v>207</v>
      </c>
      <c r="F68" s="4">
        <v>38575</v>
      </c>
      <c r="G68" s="2" t="s">
        <v>225</v>
      </c>
      <c r="H68" s="4">
        <v>38575</v>
      </c>
      <c r="I68" t="str">
        <v>C-GTXV</v>
      </c>
      <c r="J68" s="1" t="s">
        <v>106</v>
      </c>
    </row>
    <row r="69" spans="1:10" ht="18" x14ac:dyDescent="0.2">
      <c r="A69" s="1" t="s">
        <v>228</v>
      </c>
      <c r="B69" s="2" t="s">
        <v>6</v>
      </c>
      <c r="C69" s="2" t="s">
        <v>7</v>
      </c>
      <c r="D69" s="2">
        <v>491</v>
      </c>
      <c r="E69" s="2" t="s">
        <v>207</v>
      </c>
      <c r="F69" s="4">
        <v>38575</v>
      </c>
      <c r="G69" s="2" t="s">
        <v>225</v>
      </c>
      <c r="H69" s="4">
        <v>38575</v>
      </c>
      <c r="I69" t="str">
        <v>C-GOHI</v>
      </c>
      <c r="J69" s="1" t="s">
        <v>108</v>
      </c>
    </row>
    <row r="70" spans="1:10" ht="18" x14ac:dyDescent="0.2">
      <c r="A70" s="1" t="s">
        <v>96</v>
      </c>
      <c r="B70" s="2" t="s">
        <v>6</v>
      </c>
      <c r="C70" s="2" t="s">
        <v>19</v>
      </c>
      <c r="D70" s="2">
        <v>707</v>
      </c>
      <c r="E70" s="2" t="s">
        <v>205</v>
      </c>
      <c r="F70" s="4">
        <v>40263</v>
      </c>
      <c r="G70" s="2" t="s">
        <v>225</v>
      </c>
      <c r="H70" s="4">
        <v>38846</v>
      </c>
      <c r="I70" t="str">
        <v>C-GMQZ</v>
      </c>
      <c r="J70" s="1" t="s">
        <v>110</v>
      </c>
    </row>
    <row r="71" spans="1:10" ht="18" x14ac:dyDescent="0.2">
      <c r="A71" s="1" t="s">
        <v>96</v>
      </c>
      <c r="B71" s="2" t="s">
        <v>6</v>
      </c>
      <c r="C71" s="2" t="s">
        <v>19</v>
      </c>
      <c r="D71" s="2">
        <v>707</v>
      </c>
      <c r="E71" s="2" t="s">
        <v>207</v>
      </c>
      <c r="F71" s="4">
        <v>38846</v>
      </c>
      <c r="G71" s="2" t="s">
        <v>225</v>
      </c>
      <c r="H71" s="4">
        <v>38846</v>
      </c>
      <c r="I71" t="str">
        <v>C-GMPZ</v>
      </c>
      <c r="J71" s="1" t="s">
        <v>111</v>
      </c>
    </row>
    <row r="72" spans="1:10" ht="18" x14ac:dyDescent="0.2">
      <c r="A72" s="1" t="s">
        <v>96</v>
      </c>
      <c r="B72" s="2" t="s">
        <v>6</v>
      </c>
      <c r="C72" s="2" t="s">
        <v>19</v>
      </c>
      <c r="D72" s="2">
        <v>707</v>
      </c>
      <c r="E72" s="2" t="s">
        <v>207</v>
      </c>
      <c r="F72" s="4">
        <v>38846</v>
      </c>
      <c r="G72" s="2" t="s">
        <v>225</v>
      </c>
      <c r="H72" s="4">
        <v>38846</v>
      </c>
      <c r="I72" t="str">
        <v>C-GHPF</v>
      </c>
      <c r="J72" s="1" t="s">
        <v>112</v>
      </c>
    </row>
    <row r="73" spans="1:10" ht="18" x14ac:dyDescent="0.2">
      <c r="A73" s="1" t="s">
        <v>148</v>
      </c>
      <c r="B73" s="2" t="s">
        <v>6</v>
      </c>
      <c r="C73" s="2" t="s">
        <v>7</v>
      </c>
      <c r="D73" s="2">
        <v>274</v>
      </c>
      <c r="E73" s="2" t="s">
        <v>205</v>
      </c>
      <c r="F73" s="4">
        <v>40634</v>
      </c>
      <c r="G73" s="2" t="s">
        <v>225</v>
      </c>
      <c r="H73" s="4">
        <v>40632</v>
      </c>
      <c r="I73" t="str">
        <v>C-GFKA</v>
      </c>
      <c r="J73" s="1" t="s">
        <v>113</v>
      </c>
    </row>
    <row r="74" spans="1:10" ht="18" x14ac:dyDescent="0.2">
      <c r="A74" s="1" t="s">
        <v>148</v>
      </c>
      <c r="B74" s="2" t="s">
        <v>6</v>
      </c>
      <c r="C74" s="2" t="s">
        <v>7</v>
      </c>
      <c r="D74" s="2">
        <v>274</v>
      </c>
      <c r="E74" s="2" t="s">
        <v>207</v>
      </c>
      <c r="F74" s="4">
        <v>40632</v>
      </c>
      <c r="G74" s="2" t="s">
        <v>225</v>
      </c>
      <c r="H74" s="4">
        <v>40632</v>
      </c>
      <c r="I74" t="str">
        <v>C-FUAM</v>
      </c>
      <c r="J74" s="1" t="s">
        <v>114</v>
      </c>
    </row>
    <row r="75" spans="1:10" ht="18" x14ac:dyDescent="0.2">
      <c r="A75" s="1" t="s">
        <v>76</v>
      </c>
      <c r="B75" s="2" t="s">
        <v>6</v>
      </c>
      <c r="C75" s="2" t="s">
        <v>19</v>
      </c>
      <c r="D75" s="2">
        <v>849</v>
      </c>
      <c r="E75" s="2" t="s">
        <v>207</v>
      </c>
      <c r="F75" s="4">
        <v>39371</v>
      </c>
      <c r="G75" s="2" t="s">
        <v>225</v>
      </c>
      <c r="H75" s="4">
        <v>39371</v>
      </c>
      <c r="I75" t="str">
        <v>C-FNGE</v>
      </c>
      <c r="J75" s="1" t="s">
        <v>116</v>
      </c>
    </row>
    <row r="76" spans="1:10" ht="18" x14ac:dyDescent="0.2">
      <c r="A76" s="1" t="s">
        <v>76</v>
      </c>
      <c r="B76" s="2" t="s">
        <v>6</v>
      </c>
      <c r="C76" s="2" t="s">
        <v>19</v>
      </c>
      <c r="D76" s="2">
        <v>849</v>
      </c>
      <c r="E76" s="2" t="s">
        <v>207</v>
      </c>
      <c r="F76" s="4">
        <v>39371</v>
      </c>
      <c r="G76" s="2" t="s">
        <v>225</v>
      </c>
      <c r="H76" s="4">
        <v>39371</v>
      </c>
      <c r="I76" t="str">
        <v>C-FMPE</v>
      </c>
      <c r="J76" s="1" t="s">
        <v>118</v>
      </c>
    </row>
    <row r="77" spans="1:10" ht="18" x14ac:dyDescent="0.2">
      <c r="A77" s="1" t="s">
        <v>229</v>
      </c>
      <c r="B77" s="2" t="s">
        <v>6</v>
      </c>
      <c r="C77" s="2" t="s">
        <v>7</v>
      </c>
      <c r="D77" s="2">
        <v>276</v>
      </c>
      <c r="E77" s="2" t="s">
        <v>214</v>
      </c>
      <c r="F77" s="4">
        <v>38286</v>
      </c>
      <c r="G77" s="2" t="s">
        <v>225</v>
      </c>
      <c r="H77" s="4">
        <v>37977</v>
      </c>
      <c r="I77" t="str">
        <v>C-FMAO</v>
      </c>
      <c r="J77" s="1" t="s">
        <v>119</v>
      </c>
    </row>
    <row r="78" spans="1:10" ht="18" x14ac:dyDescent="0.2">
      <c r="A78" s="1" t="s">
        <v>229</v>
      </c>
      <c r="B78" s="2" t="s">
        <v>6</v>
      </c>
      <c r="C78" s="2" t="s">
        <v>7</v>
      </c>
      <c r="D78" s="2">
        <v>276</v>
      </c>
      <c r="E78" s="2" t="s">
        <v>205</v>
      </c>
      <c r="F78" s="4">
        <v>38286</v>
      </c>
      <c r="G78" s="2" t="s">
        <v>225</v>
      </c>
      <c r="H78" s="4">
        <v>37977</v>
      </c>
      <c r="I78" t="str">
        <v>C-FIPC</v>
      </c>
      <c r="J78" s="1" t="s">
        <v>120</v>
      </c>
    </row>
    <row r="79" spans="1:10" ht="18" x14ac:dyDescent="0.2">
      <c r="A79" s="1" t="s">
        <v>229</v>
      </c>
      <c r="B79" s="2" t="s">
        <v>6</v>
      </c>
      <c r="C79" s="2" t="s">
        <v>7</v>
      </c>
      <c r="D79" s="2">
        <v>276</v>
      </c>
      <c r="E79" s="2" t="s">
        <v>207</v>
      </c>
      <c r="F79" s="4">
        <v>37977</v>
      </c>
      <c r="G79" s="2" t="s">
        <v>225</v>
      </c>
      <c r="H79" s="4">
        <v>37977</v>
      </c>
      <c r="I79" t="str">
        <v>C-FCVD</v>
      </c>
      <c r="J79" s="1" t="s">
        <v>121</v>
      </c>
    </row>
    <row r="80" spans="1:10" ht="18" x14ac:dyDescent="0.2">
      <c r="A80" s="1" t="s">
        <v>229</v>
      </c>
      <c r="B80" s="2" t="s">
        <v>6</v>
      </c>
      <c r="C80" s="2" t="s">
        <v>7</v>
      </c>
      <c r="D80" s="2">
        <v>276</v>
      </c>
      <c r="E80" s="2" t="s">
        <v>205</v>
      </c>
      <c r="F80" s="4">
        <v>36501</v>
      </c>
      <c r="G80" s="2" t="s">
        <v>225</v>
      </c>
      <c r="H80" s="4">
        <v>36476</v>
      </c>
      <c r="I80" t="str">
        <v>C-FCLB</v>
      </c>
      <c r="J80" s="1" t="s">
        <v>123</v>
      </c>
    </row>
    <row r="81" spans="1:10" ht="18" x14ac:dyDescent="0.2">
      <c r="A81" s="1" t="s">
        <v>230</v>
      </c>
      <c r="B81" s="2" t="s">
        <v>6</v>
      </c>
      <c r="C81" s="2" t="s">
        <v>13</v>
      </c>
      <c r="D81" s="2">
        <v>1208</v>
      </c>
      <c r="E81" s="2" t="s">
        <v>207</v>
      </c>
      <c r="F81" s="4">
        <v>40366</v>
      </c>
      <c r="G81" s="2" t="s">
        <v>225</v>
      </c>
      <c r="H81" s="4">
        <v>40361</v>
      </c>
      <c r="J81" s="1" t="s">
        <v>125</v>
      </c>
    </row>
    <row r="82" spans="1:10" ht="18" x14ac:dyDescent="0.2">
      <c r="A82" s="1" t="s">
        <v>230</v>
      </c>
      <c r="B82" s="2" t="s">
        <v>6</v>
      </c>
      <c r="C82" s="2" t="s">
        <v>13</v>
      </c>
      <c r="D82" s="2">
        <v>1208</v>
      </c>
      <c r="E82" s="2" t="s">
        <v>207</v>
      </c>
      <c r="F82" s="4">
        <v>40361</v>
      </c>
      <c r="G82" s="2" t="s">
        <v>225</v>
      </c>
      <c r="H82" s="4">
        <v>40361</v>
      </c>
      <c r="J82" s="1" t="s">
        <v>126</v>
      </c>
    </row>
    <row r="83" spans="1:10" ht="18" x14ac:dyDescent="0.2">
      <c r="A83" s="1" t="s">
        <v>231</v>
      </c>
      <c r="B83" s="2" t="s">
        <v>6</v>
      </c>
      <c r="C83" s="2" t="s">
        <v>13</v>
      </c>
      <c r="D83" s="2">
        <v>1110</v>
      </c>
      <c r="E83" s="2" t="s">
        <v>207</v>
      </c>
      <c r="F83" s="4">
        <v>39888</v>
      </c>
      <c r="G83" s="2" t="s">
        <v>225</v>
      </c>
      <c r="H83" s="4">
        <v>39888</v>
      </c>
      <c r="J83" s="1" t="s">
        <v>127</v>
      </c>
    </row>
    <row r="84" spans="1:10" ht="18" x14ac:dyDescent="0.2">
      <c r="A84" s="1" t="s">
        <v>232</v>
      </c>
      <c r="B84" s="2" t="s">
        <v>6</v>
      </c>
      <c r="C84" s="2" t="s">
        <v>7</v>
      </c>
      <c r="D84" s="2">
        <v>245</v>
      </c>
      <c r="E84" s="2" t="s">
        <v>205</v>
      </c>
      <c r="F84" s="4">
        <v>37112</v>
      </c>
      <c r="G84" s="2" t="s">
        <v>225</v>
      </c>
      <c r="H84" s="4">
        <v>37008</v>
      </c>
      <c r="J84" s="1" t="s">
        <v>128</v>
      </c>
    </row>
    <row r="85" spans="1:10" ht="18" x14ac:dyDescent="0.2">
      <c r="A85" s="1" t="s">
        <v>233</v>
      </c>
      <c r="B85" s="2" t="s">
        <v>6</v>
      </c>
      <c r="C85" s="2" t="s">
        <v>7</v>
      </c>
      <c r="D85" s="2">
        <v>308</v>
      </c>
      <c r="E85" s="2" t="s">
        <v>214</v>
      </c>
      <c r="F85" s="4">
        <v>39541</v>
      </c>
      <c r="G85" s="2" t="s">
        <v>225</v>
      </c>
      <c r="H85" s="4">
        <v>39414</v>
      </c>
      <c r="J85" s="1" t="s">
        <v>129</v>
      </c>
    </row>
    <row r="86" spans="1:10" ht="18" x14ac:dyDescent="0.2">
      <c r="A86" s="1" t="s">
        <v>233</v>
      </c>
      <c r="B86" s="2" t="s">
        <v>6</v>
      </c>
      <c r="C86" s="2" t="s">
        <v>7</v>
      </c>
      <c r="D86" s="2">
        <v>308</v>
      </c>
      <c r="E86" s="2" t="s">
        <v>205</v>
      </c>
      <c r="F86" s="4">
        <v>39541</v>
      </c>
      <c r="G86" s="2" t="s">
        <v>225</v>
      </c>
      <c r="H86" s="4">
        <v>39414</v>
      </c>
      <c r="J86" s="1" t="s">
        <v>130</v>
      </c>
    </row>
    <row r="87" spans="1:10" ht="18" x14ac:dyDescent="0.2">
      <c r="A87" s="1" t="s">
        <v>233</v>
      </c>
      <c r="B87" s="2" t="s">
        <v>6</v>
      </c>
      <c r="C87" s="2" t="s">
        <v>7</v>
      </c>
      <c r="D87" s="2">
        <v>308</v>
      </c>
      <c r="E87" s="2" t="s">
        <v>207</v>
      </c>
      <c r="F87" s="4">
        <v>39414</v>
      </c>
      <c r="G87" s="2" t="s">
        <v>225</v>
      </c>
      <c r="H87" s="4">
        <v>39414</v>
      </c>
      <c r="J87" s="1" t="s">
        <v>131</v>
      </c>
    </row>
    <row r="88" spans="1:10" ht="18" x14ac:dyDescent="0.2">
      <c r="A88" s="1" t="s">
        <v>233</v>
      </c>
      <c r="B88" s="2" t="s">
        <v>6</v>
      </c>
      <c r="C88" s="2" t="s">
        <v>7</v>
      </c>
      <c r="D88" s="2">
        <v>308</v>
      </c>
      <c r="E88" s="2" t="s">
        <v>205</v>
      </c>
      <c r="F88" s="4">
        <v>36853</v>
      </c>
      <c r="G88" s="2" t="s">
        <v>225</v>
      </c>
      <c r="H88" s="4">
        <v>36717</v>
      </c>
      <c r="J88" s="1" t="s">
        <v>132</v>
      </c>
    </row>
    <row r="89" spans="1:10" ht="18" x14ac:dyDescent="0.2">
      <c r="A89" s="1" t="s">
        <v>72</v>
      </c>
      <c r="B89" s="2" t="s">
        <v>6</v>
      </c>
      <c r="C89" s="2" t="s">
        <v>7</v>
      </c>
      <c r="D89" s="2">
        <v>178</v>
      </c>
      <c r="E89" s="2" t="s">
        <v>207</v>
      </c>
      <c r="F89" s="4">
        <v>40498</v>
      </c>
      <c r="G89" s="2" t="s">
        <v>225</v>
      </c>
      <c r="H89" s="4">
        <v>40497</v>
      </c>
      <c r="J89" s="1" t="s">
        <v>133</v>
      </c>
    </row>
    <row r="90" spans="1:10" ht="18" x14ac:dyDescent="0.2">
      <c r="A90" s="1" t="s">
        <v>72</v>
      </c>
      <c r="B90" s="2" t="s">
        <v>6</v>
      </c>
      <c r="C90" s="2" t="s">
        <v>7</v>
      </c>
      <c r="D90" s="2">
        <v>178</v>
      </c>
      <c r="E90" s="2" t="s">
        <v>205</v>
      </c>
      <c r="F90" s="4">
        <v>37747</v>
      </c>
      <c r="G90" s="2" t="s">
        <v>225</v>
      </c>
      <c r="H90" s="4">
        <v>37525</v>
      </c>
      <c r="J90" s="1" t="s">
        <v>135</v>
      </c>
    </row>
    <row r="91" spans="1:10" ht="18" x14ac:dyDescent="0.2">
      <c r="A91" s="1" t="s">
        <v>72</v>
      </c>
      <c r="B91" s="2" t="s">
        <v>6</v>
      </c>
      <c r="C91" s="2" t="s">
        <v>7</v>
      </c>
      <c r="D91" s="2">
        <v>178</v>
      </c>
      <c r="E91" s="2" t="s">
        <v>207</v>
      </c>
      <c r="F91" s="4">
        <v>37525</v>
      </c>
      <c r="G91" s="2" t="s">
        <v>225</v>
      </c>
      <c r="H91" s="4">
        <v>37525</v>
      </c>
      <c r="J91" s="1" t="s">
        <v>136</v>
      </c>
    </row>
    <row r="92" spans="1:10" ht="18" x14ac:dyDescent="0.2">
      <c r="A92" s="1" t="s">
        <v>72</v>
      </c>
      <c r="B92" s="2" t="s">
        <v>6</v>
      </c>
      <c r="C92" s="2" t="s">
        <v>7</v>
      </c>
      <c r="D92" s="2">
        <v>178</v>
      </c>
      <c r="E92" s="2" t="s">
        <v>207</v>
      </c>
      <c r="F92" s="4">
        <v>37525</v>
      </c>
      <c r="G92" s="2" t="s">
        <v>225</v>
      </c>
      <c r="H92" s="4">
        <v>37525</v>
      </c>
      <c r="J92" s="1" t="s">
        <v>138</v>
      </c>
    </row>
    <row r="93" spans="1:10" ht="18" x14ac:dyDescent="0.2">
      <c r="A93" s="1" t="s">
        <v>72</v>
      </c>
      <c r="B93" s="2" t="s">
        <v>6</v>
      </c>
      <c r="C93" s="2" t="s">
        <v>7</v>
      </c>
      <c r="D93" s="2">
        <v>178</v>
      </c>
      <c r="E93" s="2" t="s">
        <v>205</v>
      </c>
      <c r="F93" s="4">
        <v>36921</v>
      </c>
      <c r="G93" s="2" t="s">
        <v>225</v>
      </c>
      <c r="H93" s="4">
        <v>36133</v>
      </c>
      <c r="J93" s="1" t="s">
        <v>139</v>
      </c>
    </row>
    <row r="94" spans="1:10" ht="18" x14ac:dyDescent="0.2">
      <c r="A94" s="1" t="s">
        <v>55</v>
      </c>
      <c r="B94" s="2" t="s">
        <v>6</v>
      </c>
      <c r="C94" s="2" t="s">
        <v>7</v>
      </c>
      <c r="D94" s="2">
        <v>293</v>
      </c>
      <c r="E94" s="2" t="s">
        <v>205</v>
      </c>
      <c r="F94" s="4">
        <v>40515</v>
      </c>
      <c r="G94" s="2" t="s">
        <v>225</v>
      </c>
      <c r="H94" s="4">
        <v>40497</v>
      </c>
      <c r="J94" s="1" t="s">
        <v>140</v>
      </c>
    </row>
    <row r="95" spans="1:10" ht="18" x14ac:dyDescent="0.2">
      <c r="A95" s="1" t="s">
        <v>55</v>
      </c>
      <c r="B95" s="2" t="s">
        <v>6</v>
      </c>
      <c r="C95" s="2" t="s">
        <v>7</v>
      </c>
      <c r="D95" s="2">
        <v>293</v>
      </c>
      <c r="E95" s="2" t="s">
        <v>207</v>
      </c>
      <c r="F95" s="4">
        <v>40498</v>
      </c>
      <c r="G95" s="2" t="s">
        <v>225</v>
      </c>
      <c r="H95" s="4">
        <v>40497</v>
      </c>
      <c r="J95" s="1" t="s">
        <v>141</v>
      </c>
    </row>
    <row r="96" spans="1:10" ht="18" x14ac:dyDescent="0.2">
      <c r="A96" s="1" t="s">
        <v>55</v>
      </c>
      <c r="B96" s="2" t="s">
        <v>6</v>
      </c>
      <c r="C96" s="2" t="s">
        <v>7</v>
      </c>
      <c r="D96" s="2">
        <v>293</v>
      </c>
      <c r="E96" s="2" t="s">
        <v>207</v>
      </c>
      <c r="F96" s="4">
        <v>40497</v>
      </c>
      <c r="G96" s="2" t="s">
        <v>225</v>
      </c>
      <c r="H96" s="4">
        <v>40497</v>
      </c>
      <c r="J96" s="1" t="s">
        <v>142</v>
      </c>
    </row>
    <row r="97" spans="1:10" ht="18" x14ac:dyDescent="0.2">
      <c r="A97" s="1" t="s">
        <v>234</v>
      </c>
      <c r="B97" s="2" t="s">
        <v>6</v>
      </c>
      <c r="C97" s="2" t="s">
        <v>7</v>
      </c>
      <c r="D97" s="2">
        <v>268</v>
      </c>
      <c r="E97" s="2" t="s">
        <v>205</v>
      </c>
      <c r="F97" s="4">
        <v>38931</v>
      </c>
      <c r="G97" s="2" t="s">
        <v>225</v>
      </c>
      <c r="H97" s="4">
        <v>38805</v>
      </c>
      <c r="J97" s="1" t="s">
        <v>144</v>
      </c>
    </row>
    <row r="98" spans="1:10" ht="18" x14ac:dyDescent="0.2">
      <c r="A98" s="1" t="s">
        <v>234</v>
      </c>
      <c r="B98" s="2" t="s">
        <v>6</v>
      </c>
      <c r="C98" s="2" t="s">
        <v>7</v>
      </c>
      <c r="D98" s="2">
        <v>268</v>
      </c>
      <c r="E98" s="2" t="s">
        <v>207</v>
      </c>
      <c r="F98" s="4">
        <v>38805</v>
      </c>
      <c r="G98" s="2" t="s">
        <v>225</v>
      </c>
      <c r="H98" s="4">
        <v>38805</v>
      </c>
      <c r="J98" s="1" t="s">
        <v>145</v>
      </c>
    </row>
    <row r="99" spans="1:10" ht="18" x14ac:dyDescent="0.2">
      <c r="A99" s="1" t="s">
        <v>234</v>
      </c>
      <c r="B99" s="2" t="s">
        <v>6</v>
      </c>
      <c r="C99" s="2" t="s">
        <v>7</v>
      </c>
      <c r="D99" s="2">
        <v>268</v>
      </c>
      <c r="E99" s="2" t="s">
        <v>205</v>
      </c>
      <c r="F99" s="4">
        <v>36914</v>
      </c>
      <c r="G99" s="2" t="s">
        <v>225</v>
      </c>
      <c r="H99" s="4">
        <v>36599</v>
      </c>
      <c r="J99" s="1" t="s">
        <v>146</v>
      </c>
    </row>
    <row r="100" spans="1:10" ht="18" x14ac:dyDescent="0.2">
      <c r="A100" s="1" t="s">
        <v>234</v>
      </c>
      <c r="B100" s="2" t="s">
        <v>6</v>
      </c>
      <c r="C100" s="2" t="s">
        <v>7</v>
      </c>
      <c r="D100" s="2">
        <v>268</v>
      </c>
      <c r="E100" s="2" t="s">
        <v>205</v>
      </c>
      <c r="F100" s="4">
        <v>36425</v>
      </c>
      <c r="G100" s="2" t="s">
        <v>225</v>
      </c>
      <c r="H100" s="4">
        <v>36391</v>
      </c>
      <c r="J100" s="1" t="s">
        <v>147</v>
      </c>
    </row>
    <row r="101" spans="1:10" ht="18" x14ac:dyDescent="0.2">
      <c r="A101" s="1" t="s">
        <v>38</v>
      </c>
      <c r="B101" s="2" t="s">
        <v>6</v>
      </c>
      <c r="C101" s="2" t="s">
        <v>13</v>
      </c>
      <c r="D101" s="2">
        <v>1040</v>
      </c>
      <c r="E101" s="2" t="s">
        <v>207</v>
      </c>
      <c r="F101" s="4">
        <v>39674</v>
      </c>
      <c r="G101" s="2" t="s">
        <v>225</v>
      </c>
      <c r="H101" s="4">
        <v>39674</v>
      </c>
      <c r="J101" s="1" t="s">
        <v>148</v>
      </c>
    </row>
    <row r="102" spans="1:10" ht="18" x14ac:dyDescent="0.2">
      <c r="A102" s="1" t="s">
        <v>38</v>
      </c>
      <c r="B102" s="2" t="s">
        <v>6</v>
      </c>
      <c r="C102" s="2" t="s">
        <v>13</v>
      </c>
      <c r="D102" s="2">
        <v>1040</v>
      </c>
      <c r="E102" s="2" t="s">
        <v>207</v>
      </c>
      <c r="F102" s="4">
        <v>39674</v>
      </c>
      <c r="G102" s="2" t="s">
        <v>225</v>
      </c>
      <c r="H102" s="4">
        <v>39674</v>
      </c>
      <c r="J102" s="1" t="s">
        <v>150</v>
      </c>
    </row>
    <row r="103" spans="1:10" ht="18" x14ac:dyDescent="0.2">
      <c r="A103" s="1" t="s">
        <v>38</v>
      </c>
      <c r="B103" s="2" t="s">
        <v>6</v>
      </c>
      <c r="C103" s="2" t="s">
        <v>13</v>
      </c>
      <c r="D103" s="2">
        <v>1040</v>
      </c>
      <c r="E103" s="2" t="s">
        <v>207</v>
      </c>
      <c r="F103" s="4">
        <v>39674</v>
      </c>
      <c r="G103" s="2" t="s">
        <v>225</v>
      </c>
      <c r="H103" s="4">
        <v>39674</v>
      </c>
      <c r="J103" s="1" t="s">
        <v>151</v>
      </c>
    </row>
    <row r="104" spans="1:10" ht="18" x14ac:dyDescent="0.2">
      <c r="A104" s="1" t="s">
        <v>212</v>
      </c>
      <c r="B104" s="2" t="s">
        <v>6</v>
      </c>
      <c r="C104" s="2" t="s">
        <v>7</v>
      </c>
      <c r="D104" s="2">
        <v>193</v>
      </c>
      <c r="E104" s="2" t="s">
        <v>207</v>
      </c>
      <c r="F104" s="4">
        <v>39465</v>
      </c>
      <c r="G104" s="2" t="s">
        <v>225</v>
      </c>
      <c r="H104" s="4">
        <v>39465</v>
      </c>
      <c r="J104" s="1" t="s">
        <v>152</v>
      </c>
    </row>
    <row r="105" spans="1:10" ht="18" x14ac:dyDescent="0.2">
      <c r="A105" s="1" t="s">
        <v>212</v>
      </c>
      <c r="B105" s="2" t="s">
        <v>6</v>
      </c>
      <c r="C105" s="2" t="s">
        <v>7</v>
      </c>
      <c r="D105" s="2">
        <v>193</v>
      </c>
      <c r="E105" s="2" t="s">
        <v>207</v>
      </c>
      <c r="F105" s="4">
        <v>37916</v>
      </c>
      <c r="G105" s="2" t="s">
        <v>225</v>
      </c>
      <c r="H105" s="4">
        <v>37916</v>
      </c>
      <c r="J105" s="1" t="s">
        <v>153</v>
      </c>
    </row>
    <row r="106" spans="1:10" ht="18" x14ac:dyDescent="0.2">
      <c r="A106" s="1" t="s">
        <v>212</v>
      </c>
      <c r="B106" s="2" t="s">
        <v>6</v>
      </c>
      <c r="C106" s="2" t="s">
        <v>7</v>
      </c>
      <c r="D106" s="2">
        <v>193</v>
      </c>
      <c r="E106" s="2" t="s">
        <v>205</v>
      </c>
      <c r="F106" s="4">
        <v>37708</v>
      </c>
      <c r="G106" s="2" t="s">
        <v>225</v>
      </c>
      <c r="H106" s="4">
        <v>36173</v>
      </c>
      <c r="J106" s="1" t="s">
        <v>154</v>
      </c>
    </row>
    <row r="107" spans="1:10" ht="18" x14ac:dyDescent="0.2">
      <c r="A107" s="1" t="s">
        <v>212</v>
      </c>
      <c r="B107" s="2" t="s">
        <v>6</v>
      </c>
      <c r="C107" s="2" t="s">
        <v>7</v>
      </c>
      <c r="D107" s="2">
        <v>193</v>
      </c>
      <c r="E107" s="2" t="s">
        <v>207</v>
      </c>
      <c r="F107" s="4">
        <v>36173</v>
      </c>
      <c r="G107" s="2" t="s">
        <v>225</v>
      </c>
      <c r="H107" s="4">
        <v>36173</v>
      </c>
      <c r="J107" s="1" t="s">
        <v>155</v>
      </c>
    </row>
    <row r="108" spans="1:10" ht="18" x14ac:dyDescent="0.2">
      <c r="A108" s="1" t="s">
        <v>217</v>
      </c>
      <c r="B108" s="2" t="s">
        <v>6</v>
      </c>
      <c r="C108" s="2" t="s">
        <v>7</v>
      </c>
      <c r="D108" s="2">
        <v>170</v>
      </c>
      <c r="E108" s="2" t="s">
        <v>205</v>
      </c>
      <c r="F108" s="4">
        <v>36763</v>
      </c>
      <c r="G108" s="2" t="s">
        <v>225</v>
      </c>
      <c r="H108" s="4">
        <v>36571</v>
      </c>
      <c r="J108" s="1" t="s">
        <v>157</v>
      </c>
    </row>
    <row r="109" spans="1:10" ht="18" x14ac:dyDescent="0.2">
      <c r="A109" s="1" t="s">
        <v>217</v>
      </c>
      <c r="B109" s="2" t="s">
        <v>6</v>
      </c>
      <c r="C109" s="2" t="s">
        <v>7</v>
      </c>
      <c r="D109" s="2">
        <v>170</v>
      </c>
      <c r="E109" s="2" t="s">
        <v>205</v>
      </c>
      <c r="F109" s="4">
        <v>36517</v>
      </c>
      <c r="G109" s="2" t="s">
        <v>225</v>
      </c>
      <c r="H109" s="4">
        <v>36467</v>
      </c>
      <c r="J109" s="1" t="s">
        <v>158</v>
      </c>
    </row>
    <row r="110" spans="1:10" ht="18" x14ac:dyDescent="0.2">
      <c r="A110" s="1" t="s">
        <v>217</v>
      </c>
      <c r="B110" s="2" t="s">
        <v>6</v>
      </c>
      <c r="C110" s="2" t="s">
        <v>7</v>
      </c>
      <c r="D110" s="2">
        <v>170</v>
      </c>
      <c r="E110" s="2" t="s">
        <v>205</v>
      </c>
      <c r="F110" s="4">
        <v>35916</v>
      </c>
      <c r="G110" s="2" t="s">
        <v>226</v>
      </c>
      <c r="H110" s="4">
        <v>35842</v>
      </c>
      <c r="J110" s="1" t="s">
        <v>160</v>
      </c>
    </row>
    <row r="111" spans="1:10" ht="18" x14ac:dyDescent="0.2">
      <c r="A111" s="1" t="s">
        <v>217</v>
      </c>
      <c r="B111" s="2" t="s">
        <v>6</v>
      </c>
      <c r="C111" s="2" t="s">
        <v>7</v>
      </c>
      <c r="D111" s="2">
        <v>170</v>
      </c>
      <c r="E111" s="2" t="s">
        <v>214</v>
      </c>
      <c r="F111" s="4">
        <v>35839</v>
      </c>
      <c r="G111" s="2" t="s">
        <v>226</v>
      </c>
      <c r="H111" s="4">
        <v>35839</v>
      </c>
      <c r="J111" s="1" t="s">
        <v>161</v>
      </c>
    </row>
    <row r="112" spans="1:10" ht="18" x14ac:dyDescent="0.2">
      <c r="A112" s="1" t="s">
        <v>132</v>
      </c>
      <c r="B112" s="2" t="s">
        <v>6</v>
      </c>
      <c r="C112" s="2" t="s">
        <v>7</v>
      </c>
      <c r="D112" s="2">
        <v>159</v>
      </c>
      <c r="E112" s="2" t="s">
        <v>205</v>
      </c>
      <c r="F112" s="4">
        <v>37837</v>
      </c>
      <c r="G112" s="2" t="s">
        <v>225</v>
      </c>
      <c r="H112" s="4">
        <v>36916</v>
      </c>
      <c r="J112" s="1" t="s">
        <v>162</v>
      </c>
    </row>
    <row r="113" spans="1:10" ht="18" x14ac:dyDescent="0.2">
      <c r="A113" s="1" t="s">
        <v>132</v>
      </c>
      <c r="B113" s="2" t="s">
        <v>6</v>
      </c>
      <c r="C113" s="2" t="s">
        <v>7</v>
      </c>
      <c r="D113" s="2">
        <v>159</v>
      </c>
      <c r="E113" s="2" t="s">
        <v>207</v>
      </c>
      <c r="F113" s="4">
        <v>36916</v>
      </c>
      <c r="G113" s="2" t="s">
        <v>225</v>
      </c>
      <c r="H113" s="4">
        <v>36916</v>
      </c>
      <c r="J113" s="1" t="s">
        <v>163</v>
      </c>
    </row>
    <row r="114" spans="1:10" ht="18" x14ac:dyDescent="0.2">
      <c r="A114" s="1" t="s">
        <v>110</v>
      </c>
      <c r="B114" s="2" t="s">
        <v>6</v>
      </c>
      <c r="C114" s="2" t="s">
        <v>7</v>
      </c>
      <c r="D114" s="2">
        <v>227</v>
      </c>
      <c r="E114" s="2" t="s">
        <v>205</v>
      </c>
      <c r="F114" s="4">
        <v>38867</v>
      </c>
      <c r="G114" s="2" t="s">
        <v>225</v>
      </c>
      <c r="H114" s="4">
        <v>38784</v>
      </c>
      <c r="J114" s="1" t="s">
        <v>164</v>
      </c>
    </row>
    <row r="115" spans="1:10" ht="18" x14ac:dyDescent="0.2">
      <c r="A115" s="1" t="s">
        <v>110</v>
      </c>
      <c r="B115" s="2" t="s">
        <v>6</v>
      </c>
      <c r="C115" s="2" t="s">
        <v>7</v>
      </c>
      <c r="D115" s="2">
        <v>227</v>
      </c>
      <c r="E115" s="2" t="s">
        <v>207</v>
      </c>
      <c r="F115" s="4">
        <v>38784</v>
      </c>
      <c r="G115" s="2" t="s">
        <v>225</v>
      </c>
      <c r="H115" s="4">
        <v>38784</v>
      </c>
      <c r="J115" s="1" t="s">
        <v>165</v>
      </c>
    </row>
    <row r="116" spans="1:10" ht="18" x14ac:dyDescent="0.2">
      <c r="A116" s="1" t="s">
        <v>111</v>
      </c>
      <c r="B116" s="2" t="s">
        <v>6</v>
      </c>
      <c r="C116" s="2" t="s">
        <v>7</v>
      </c>
      <c r="D116" s="2">
        <v>254</v>
      </c>
      <c r="E116" s="2" t="s">
        <v>205</v>
      </c>
      <c r="F116" s="4">
        <v>36395</v>
      </c>
      <c r="G116" s="2" t="s">
        <v>225</v>
      </c>
      <c r="H116" s="4">
        <v>36293</v>
      </c>
      <c r="J116" s="1" t="s">
        <v>166</v>
      </c>
    </row>
    <row r="117" spans="1:10" ht="18" x14ac:dyDescent="0.2">
      <c r="A117" s="1" t="s">
        <v>126</v>
      </c>
      <c r="B117" s="2" t="s">
        <v>6</v>
      </c>
      <c r="C117" s="2" t="s">
        <v>7</v>
      </c>
      <c r="D117" s="2">
        <v>239</v>
      </c>
      <c r="E117" s="2" t="s">
        <v>205</v>
      </c>
      <c r="F117" s="4">
        <v>40626</v>
      </c>
      <c r="G117" s="2" t="s">
        <v>225</v>
      </c>
      <c r="H117" s="4">
        <v>40522</v>
      </c>
      <c r="J117" s="1" t="s">
        <v>167</v>
      </c>
    </row>
    <row r="118" spans="1:10" ht="18" x14ac:dyDescent="0.2">
      <c r="A118" s="1" t="s">
        <v>126</v>
      </c>
      <c r="B118" s="2" t="s">
        <v>6</v>
      </c>
      <c r="C118" s="2" t="s">
        <v>7</v>
      </c>
      <c r="D118" s="2">
        <v>239</v>
      </c>
      <c r="E118" s="2" t="s">
        <v>207</v>
      </c>
      <c r="F118" s="4">
        <v>40522</v>
      </c>
      <c r="G118" s="2" t="s">
        <v>225</v>
      </c>
      <c r="H118" s="4">
        <v>40522</v>
      </c>
      <c r="J118" s="1" t="s">
        <v>168</v>
      </c>
    </row>
    <row r="119" spans="1:10" ht="18" x14ac:dyDescent="0.2">
      <c r="A119" s="1" t="s">
        <v>141</v>
      </c>
      <c r="B119" s="2" t="s">
        <v>6</v>
      </c>
      <c r="C119" s="2" t="s">
        <v>7</v>
      </c>
      <c r="D119" s="2">
        <v>211</v>
      </c>
      <c r="E119" s="2" t="s">
        <v>207</v>
      </c>
      <c r="F119" s="4">
        <v>40603</v>
      </c>
      <c r="G119" s="2" t="s">
        <v>225</v>
      </c>
      <c r="H119" s="4">
        <v>40603</v>
      </c>
      <c r="J119" s="1" t="s">
        <v>169</v>
      </c>
    </row>
    <row r="120" spans="1:10" ht="18" x14ac:dyDescent="0.2">
      <c r="A120" s="1" t="s">
        <v>141</v>
      </c>
      <c r="B120" s="2" t="s">
        <v>6</v>
      </c>
      <c r="C120" s="2" t="s">
        <v>7</v>
      </c>
      <c r="D120" s="2">
        <v>211</v>
      </c>
      <c r="E120" s="2" t="s">
        <v>205</v>
      </c>
      <c r="F120" s="4">
        <v>37215</v>
      </c>
      <c r="G120" s="2" t="s">
        <v>225</v>
      </c>
      <c r="H120" s="4">
        <v>37048</v>
      </c>
      <c r="J120" s="1" t="s">
        <v>170</v>
      </c>
    </row>
    <row r="121" spans="1:10" ht="18" x14ac:dyDescent="0.2">
      <c r="A121" s="1" t="s">
        <v>235</v>
      </c>
      <c r="B121" s="2" t="s">
        <v>6</v>
      </c>
      <c r="C121" s="2" t="s">
        <v>7</v>
      </c>
      <c r="D121" s="2">
        <v>358</v>
      </c>
      <c r="E121" s="2" t="s">
        <v>205</v>
      </c>
      <c r="F121" s="4">
        <v>39150</v>
      </c>
      <c r="G121" s="2" t="s">
        <v>225</v>
      </c>
      <c r="H121" s="4">
        <v>38799</v>
      </c>
      <c r="J121" s="1" t="s">
        <v>171</v>
      </c>
    </row>
    <row r="122" spans="1:10" ht="18" x14ac:dyDescent="0.2">
      <c r="A122" s="1" t="s">
        <v>235</v>
      </c>
      <c r="B122" s="2" t="s">
        <v>6</v>
      </c>
      <c r="C122" s="2" t="s">
        <v>7</v>
      </c>
      <c r="D122" s="2">
        <v>358</v>
      </c>
      <c r="E122" s="2" t="s">
        <v>207</v>
      </c>
      <c r="F122" s="4">
        <v>38799</v>
      </c>
      <c r="G122" s="2" t="s">
        <v>225</v>
      </c>
      <c r="H122" s="4">
        <v>38799</v>
      </c>
      <c r="J122" s="1" t="s">
        <v>172</v>
      </c>
    </row>
    <row r="123" spans="1:10" ht="18" x14ac:dyDescent="0.2">
      <c r="A123" s="1" t="s">
        <v>235</v>
      </c>
      <c r="B123" s="2" t="s">
        <v>6</v>
      </c>
      <c r="C123" s="2" t="s">
        <v>7</v>
      </c>
      <c r="D123" s="2">
        <v>358</v>
      </c>
      <c r="E123" s="2" t="s">
        <v>207</v>
      </c>
      <c r="F123" s="4">
        <v>38315</v>
      </c>
      <c r="G123" s="2" t="s">
        <v>225</v>
      </c>
      <c r="H123" s="4">
        <v>38315</v>
      </c>
      <c r="J123" s="1" t="s">
        <v>173</v>
      </c>
    </row>
    <row r="124" spans="1:10" ht="18" x14ac:dyDescent="0.2">
      <c r="A124" s="1" t="s">
        <v>235</v>
      </c>
      <c r="B124" s="2" t="s">
        <v>6</v>
      </c>
      <c r="C124" s="2" t="s">
        <v>7</v>
      </c>
      <c r="D124" s="2">
        <v>358</v>
      </c>
      <c r="E124" s="2" t="s">
        <v>205</v>
      </c>
      <c r="F124" s="4">
        <v>37964</v>
      </c>
      <c r="G124" s="2" t="s">
        <v>225</v>
      </c>
      <c r="H124" s="4">
        <v>37918</v>
      </c>
      <c r="J124" s="1" t="s">
        <v>174</v>
      </c>
    </row>
    <row r="125" spans="1:10" ht="18" x14ac:dyDescent="0.2">
      <c r="A125" s="1" t="s">
        <v>235</v>
      </c>
      <c r="B125" s="2" t="s">
        <v>6</v>
      </c>
      <c r="C125" s="2" t="s">
        <v>7</v>
      </c>
      <c r="D125" s="2">
        <v>358</v>
      </c>
      <c r="E125" s="2" t="s">
        <v>207</v>
      </c>
      <c r="F125" s="4">
        <v>37918</v>
      </c>
      <c r="G125" s="2" t="s">
        <v>225</v>
      </c>
      <c r="H125" s="4">
        <v>37918</v>
      </c>
      <c r="J125" s="1" t="s">
        <v>175</v>
      </c>
    </row>
    <row r="126" spans="1:10" ht="18" x14ac:dyDescent="0.2">
      <c r="A126" s="1" t="s">
        <v>235</v>
      </c>
      <c r="B126" s="2" t="s">
        <v>6</v>
      </c>
      <c r="C126" s="2" t="s">
        <v>7</v>
      </c>
      <c r="D126" s="2">
        <v>358</v>
      </c>
      <c r="E126" s="2" t="s">
        <v>207</v>
      </c>
      <c r="F126" s="4">
        <v>37918</v>
      </c>
      <c r="G126" s="2" t="s">
        <v>225</v>
      </c>
      <c r="H126" s="4">
        <v>37918</v>
      </c>
      <c r="J126" s="1" t="s">
        <v>176</v>
      </c>
    </row>
    <row r="127" spans="1:10" ht="18" x14ac:dyDescent="0.2">
      <c r="A127" s="1" t="s">
        <v>235</v>
      </c>
      <c r="B127" s="2" t="s">
        <v>6</v>
      </c>
      <c r="C127" s="2" t="s">
        <v>7</v>
      </c>
      <c r="D127" s="2">
        <v>358</v>
      </c>
      <c r="E127" s="2" t="s">
        <v>205</v>
      </c>
      <c r="F127" s="4">
        <v>37767</v>
      </c>
      <c r="G127" s="2" t="s">
        <v>225</v>
      </c>
      <c r="H127" s="4">
        <v>37736</v>
      </c>
      <c r="J127" s="1" t="s">
        <v>178</v>
      </c>
    </row>
    <row r="128" spans="1:10" ht="18" x14ac:dyDescent="0.2">
      <c r="A128" s="1" t="s">
        <v>235</v>
      </c>
      <c r="B128" s="2" t="s">
        <v>6</v>
      </c>
      <c r="C128" s="2" t="s">
        <v>7</v>
      </c>
      <c r="D128" s="2">
        <v>358</v>
      </c>
      <c r="E128" s="2" t="s">
        <v>207</v>
      </c>
      <c r="F128" s="4">
        <v>37739</v>
      </c>
      <c r="G128" s="2" t="s">
        <v>225</v>
      </c>
      <c r="H128" s="4">
        <v>37736</v>
      </c>
      <c r="J128" s="1" t="s">
        <v>179</v>
      </c>
    </row>
    <row r="129" spans="1:10" ht="18" x14ac:dyDescent="0.2">
      <c r="A129" s="1" t="s">
        <v>235</v>
      </c>
      <c r="B129" s="2" t="s">
        <v>6</v>
      </c>
      <c r="C129" s="2" t="s">
        <v>7</v>
      </c>
      <c r="D129" s="2">
        <v>358</v>
      </c>
      <c r="E129" s="2" t="s">
        <v>207</v>
      </c>
      <c r="F129" s="4">
        <v>37736</v>
      </c>
      <c r="G129" s="2" t="s">
        <v>225</v>
      </c>
      <c r="H129" s="4">
        <v>37736</v>
      </c>
      <c r="J129" s="1" t="s">
        <v>180</v>
      </c>
    </row>
    <row r="130" spans="1:10" ht="18" x14ac:dyDescent="0.2">
      <c r="A130" s="1" t="s">
        <v>235</v>
      </c>
      <c r="B130" s="2" t="s">
        <v>6</v>
      </c>
      <c r="C130" s="2" t="s">
        <v>7</v>
      </c>
      <c r="D130" s="2">
        <v>358</v>
      </c>
      <c r="E130" s="2" t="s">
        <v>205</v>
      </c>
      <c r="F130" s="4">
        <v>37428</v>
      </c>
      <c r="G130" s="2" t="s">
        <v>225</v>
      </c>
      <c r="H130" s="4">
        <v>36951</v>
      </c>
      <c r="J130" s="1" t="s">
        <v>181</v>
      </c>
    </row>
    <row r="131" spans="1:10" ht="18" x14ac:dyDescent="0.2">
      <c r="A131" s="1" t="s">
        <v>235</v>
      </c>
      <c r="B131" s="2" t="s">
        <v>6</v>
      </c>
      <c r="C131" s="2" t="s">
        <v>7</v>
      </c>
      <c r="D131" s="2">
        <v>358</v>
      </c>
      <c r="E131" s="2" t="s">
        <v>207</v>
      </c>
      <c r="F131" s="4">
        <v>36951</v>
      </c>
      <c r="G131" s="2" t="s">
        <v>225</v>
      </c>
      <c r="H131" s="4">
        <v>36951</v>
      </c>
    </row>
    <row r="132" spans="1:10" ht="18" x14ac:dyDescent="0.2">
      <c r="A132" s="1" t="s">
        <v>236</v>
      </c>
      <c r="B132" s="2" t="s">
        <v>6</v>
      </c>
      <c r="C132" s="2" t="s">
        <v>7</v>
      </c>
      <c r="D132" s="2">
        <v>202</v>
      </c>
      <c r="E132" s="2" t="s">
        <v>214</v>
      </c>
      <c r="F132" s="4">
        <v>40693</v>
      </c>
      <c r="G132" s="2" t="s">
        <v>225</v>
      </c>
      <c r="H132" s="4">
        <v>40339</v>
      </c>
    </row>
    <row r="133" spans="1:10" ht="18" x14ac:dyDescent="0.2">
      <c r="A133" s="1" t="s">
        <v>236</v>
      </c>
      <c r="B133" s="2" t="s">
        <v>6</v>
      </c>
      <c r="C133" s="2" t="s">
        <v>7</v>
      </c>
      <c r="D133" s="2">
        <v>202</v>
      </c>
      <c r="E133" s="2" t="s">
        <v>205</v>
      </c>
      <c r="F133" s="4">
        <v>40693</v>
      </c>
      <c r="G133" s="2" t="s">
        <v>225</v>
      </c>
      <c r="H133" s="4">
        <v>40339</v>
      </c>
    </row>
    <row r="134" spans="1:10" ht="18" x14ac:dyDescent="0.2">
      <c r="A134" s="1" t="s">
        <v>236</v>
      </c>
      <c r="B134" s="2" t="s">
        <v>6</v>
      </c>
      <c r="C134" s="2" t="s">
        <v>7</v>
      </c>
      <c r="D134" s="2">
        <v>202</v>
      </c>
      <c r="E134" s="2" t="s">
        <v>207</v>
      </c>
      <c r="F134" s="4">
        <v>40339</v>
      </c>
      <c r="G134" s="2" t="s">
        <v>225</v>
      </c>
      <c r="H134" s="4">
        <v>40339</v>
      </c>
    </row>
    <row r="135" spans="1:10" ht="18" x14ac:dyDescent="0.2">
      <c r="A135" s="1" t="s">
        <v>236</v>
      </c>
      <c r="B135" s="2" t="s">
        <v>6</v>
      </c>
      <c r="C135" s="2" t="s">
        <v>7</v>
      </c>
      <c r="D135" s="2">
        <v>202</v>
      </c>
      <c r="E135" s="2" t="s">
        <v>207</v>
      </c>
      <c r="F135" s="4">
        <v>40339</v>
      </c>
      <c r="G135" s="2" t="s">
        <v>225</v>
      </c>
      <c r="H135" s="4">
        <v>40339</v>
      </c>
    </row>
    <row r="136" spans="1:10" ht="18" x14ac:dyDescent="0.2">
      <c r="A136" s="1" t="s">
        <v>116</v>
      </c>
      <c r="B136" s="2" t="s">
        <v>6</v>
      </c>
      <c r="C136" s="2" t="s">
        <v>13</v>
      </c>
      <c r="D136" s="2">
        <v>1167</v>
      </c>
      <c r="E136" s="2" t="s">
        <v>205</v>
      </c>
      <c r="F136" s="4">
        <v>40204</v>
      </c>
      <c r="G136" s="2" t="s">
        <v>225</v>
      </c>
      <c r="H136" s="4">
        <v>40126</v>
      </c>
    </row>
    <row r="137" spans="1:10" ht="18" x14ac:dyDescent="0.2">
      <c r="A137" s="1" t="s">
        <v>116</v>
      </c>
      <c r="B137" s="2" t="s">
        <v>6</v>
      </c>
      <c r="C137" s="2" t="s">
        <v>13</v>
      </c>
      <c r="D137" s="2">
        <v>1167</v>
      </c>
      <c r="E137" s="2" t="s">
        <v>207</v>
      </c>
      <c r="F137" s="4">
        <v>40126</v>
      </c>
      <c r="G137" s="2" t="s">
        <v>225</v>
      </c>
      <c r="H137" s="4">
        <v>40126</v>
      </c>
    </row>
    <row r="138" spans="1:10" ht="18" x14ac:dyDescent="0.2">
      <c r="A138" s="1" t="s">
        <v>116</v>
      </c>
      <c r="B138" s="2" t="s">
        <v>6</v>
      </c>
      <c r="C138" s="2" t="s">
        <v>13</v>
      </c>
      <c r="D138" s="2">
        <v>1167</v>
      </c>
      <c r="E138" s="2" t="s">
        <v>207</v>
      </c>
      <c r="F138" s="4">
        <v>40126</v>
      </c>
      <c r="G138" s="2" t="s">
        <v>225</v>
      </c>
      <c r="H138" s="4">
        <v>40126</v>
      </c>
    </row>
    <row r="139" spans="1:10" ht="18" x14ac:dyDescent="0.2">
      <c r="A139" s="1" t="s">
        <v>237</v>
      </c>
      <c r="B139" s="2" t="s">
        <v>6</v>
      </c>
      <c r="C139" s="2" t="s">
        <v>7</v>
      </c>
      <c r="D139" s="2">
        <v>433</v>
      </c>
      <c r="E139" s="2" t="s">
        <v>205</v>
      </c>
      <c r="F139" s="4">
        <v>37425</v>
      </c>
      <c r="G139" s="2" t="s">
        <v>225</v>
      </c>
      <c r="H139" s="4">
        <v>37265</v>
      </c>
    </row>
    <row r="140" spans="1:10" ht="18" x14ac:dyDescent="0.2">
      <c r="A140" s="1" t="s">
        <v>237</v>
      </c>
      <c r="B140" s="2" t="s">
        <v>6</v>
      </c>
      <c r="C140" s="2" t="s">
        <v>7</v>
      </c>
      <c r="D140" s="2">
        <v>433</v>
      </c>
      <c r="E140" s="2" t="s">
        <v>207</v>
      </c>
      <c r="F140" s="4">
        <v>37265</v>
      </c>
      <c r="G140" s="2" t="s">
        <v>225</v>
      </c>
      <c r="H140" s="4">
        <v>37265</v>
      </c>
    </row>
    <row r="141" spans="1:10" ht="18" x14ac:dyDescent="0.2">
      <c r="A141" s="1" t="s">
        <v>121</v>
      </c>
      <c r="B141" s="2" t="s">
        <v>6</v>
      </c>
      <c r="C141" s="2" t="s">
        <v>7</v>
      </c>
      <c r="D141" s="2">
        <v>276</v>
      </c>
      <c r="E141" s="2" t="s">
        <v>205</v>
      </c>
      <c r="F141" s="4">
        <v>38645</v>
      </c>
      <c r="G141" s="2" t="s">
        <v>225</v>
      </c>
      <c r="H141" s="4">
        <v>38582</v>
      </c>
    </row>
    <row r="142" spans="1:10" ht="18" x14ac:dyDescent="0.2">
      <c r="A142" s="1" t="s">
        <v>121</v>
      </c>
      <c r="B142" s="2" t="s">
        <v>6</v>
      </c>
      <c r="C142" s="2" t="s">
        <v>7</v>
      </c>
      <c r="D142" s="2">
        <v>276</v>
      </c>
      <c r="E142" s="2" t="s">
        <v>207</v>
      </c>
      <c r="F142" s="4">
        <v>38582</v>
      </c>
      <c r="G142" s="2" t="s">
        <v>225</v>
      </c>
      <c r="H142" s="4">
        <v>38582</v>
      </c>
    </row>
    <row r="143" spans="1:10" ht="18" x14ac:dyDescent="0.2">
      <c r="A143" s="1" t="s">
        <v>121</v>
      </c>
      <c r="B143" s="2" t="s">
        <v>6</v>
      </c>
      <c r="C143" s="2" t="s">
        <v>7</v>
      </c>
      <c r="D143" s="2">
        <v>276</v>
      </c>
      <c r="E143" s="2" t="s">
        <v>207</v>
      </c>
      <c r="F143" s="4">
        <v>38582</v>
      </c>
      <c r="G143" s="2" t="s">
        <v>225</v>
      </c>
      <c r="H143" s="4">
        <v>38582</v>
      </c>
    </row>
    <row r="144" spans="1:10" ht="18" x14ac:dyDescent="0.2">
      <c r="A144" s="1" t="s">
        <v>9</v>
      </c>
      <c r="B144" s="2" t="s">
        <v>6</v>
      </c>
      <c r="C144" s="2" t="s">
        <v>7</v>
      </c>
      <c r="D144" s="2">
        <v>399</v>
      </c>
      <c r="E144" s="2" t="s">
        <v>205</v>
      </c>
      <c r="F144" s="4">
        <v>39545</v>
      </c>
      <c r="G144" s="2" t="s">
        <v>225</v>
      </c>
      <c r="H144" s="4">
        <v>39485</v>
      </c>
    </row>
    <row r="145" spans="1:8" ht="18" x14ac:dyDescent="0.2">
      <c r="A145" s="1" t="s">
        <v>9</v>
      </c>
      <c r="B145" s="2" t="s">
        <v>6</v>
      </c>
      <c r="C145" s="2" t="s">
        <v>7</v>
      </c>
      <c r="D145" s="2">
        <v>399</v>
      </c>
      <c r="E145" s="2" t="s">
        <v>207</v>
      </c>
      <c r="F145" s="4">
        <v>39485</v>
      </c>
      <c r="G145" s="2" t="s">
        <v>225</v>
      </c>
      <c r="H145" s="4">
        <v>39485</v>
      </c>
    </row>
    <row r="146" spans="1:8" ht="18" x14ac:dyDescent="0.2">
      <c r="A146" s="1" t="s">
        <v>9</v>
      </c>
      <c r="B146" s="2" t="s">
        <v>6</v>
      </c>
      <c r="C146" s="2" t="s">
        <v>7</v>
      </c>
      <c r="D146" s="2">
        <v>399</v>
      </c>
      <c r="E146" s="2" t="s">
        <v>205</v>
      </c>
      <c r="F146" s="4">
        <v>37201</v>
      </c>
      <c r="G146" s="2" t="s">
        <v>225</v>
      </c>
      <c r="H146" s="4">
        <v>37174</v>
      </c>
    </row>
    <row r="147" spans="1:8" ht="18" x14ac:dyDescent="0.2">
      <c r="A147" s="1" t="s">
        <v>238</v>
      </c>
      <c r="B147" s="2" t="s">
        <v>6</v>
      </c>
      <c r="C147" s="2" t="s">
        <v>7</v>
      </c>
      <c r="D147" s="2">
        <v>300</v>
      </c>
      <c r="E147" s="2" t="s">
        <v>205</v>
      </c>
      <c r="F147" s="4">
        <v>36846</v>
      </c>
      <c r="G147" s="2" t="s">
        <v>225</v>
      </c>
      <c r="H147" s="4">
        <v>36587</v>
      </c>
    </row>
    <row r="148" spans="1:8" ht="18" x14ac:dyDescent="0.2">
      <c r="A148" s="1" t="s">
        <v>239</v>
      </c>
      <c r="B148" s="2" t="s">
        <v>6</v>
      </c>
      <c r="C148" s="2" t="s">
        <v>7</v>
      </c>
      <c r="D148" s="2">
        <v>296</v>
      </c>
      <c r="E148" s="2" t="s">
        <v>214</v>
      </c>
      <c r="F148" s="4">
        <v>40469</v>
      </c>
      <c r="G148" s="2" t="s">
        <v>225</v>
      </c>
      <c r="H148" s="4">
        <v>40456</v>
      </c>
    </row>
    <row r="149" spans="1:8" ht="18" x14ac:dyDescent="0.2">
      <c r="A149" s="1" t="s">
        <v>239</v>
      </c>
      <c r="B149" s="2" t="s">
        <v>6</v>
      </c>
      <c r="C149" s="2" t="s">
        <v>7</v>
      </c>
      <c r="D149" s="2">
        <v>296</v>
      </c>
      <c r="E149" s="2" t="s">
        <v>205</v>
      </c>
      <c r="F149" s="4">
        <v>40469</v>
      </c>
      <c r="G149" s="2" t="s">
        <v>225</v>
      </c>
      <c r="H149" s="4">
        <v>40456</v>
      </c>
    </row>
    <row r="150" spans="1:8" ht="18" x14ac:dyDescent="0.2">
      <c r="A150" s="1" t="s">
        <v>239</v>
      </c>
      <c r="B150" s="2" t="s">
        <v>6</v>
      </c>
      <c r="C150" s="2" t="s">
        <v>7</v>
      </c>
      <c r="D150" s="2">
        <v>296</v>
      </c>
      <c r="E150" s="2" t="s">
        <v>207</v>
      </c>
      <c r="F150" s="4">
        <v>40457</v>
      </c>
      <c r="G150" s="2" t="s">
        <v>225</v>
      </c>
      <c r="H150" s="4">
        <v>40456</v>
      </c>
    </row>
    <row r="151" spans="1:8" ht="18" x14ac:dyDescent="0.2">
      <c r="A151" s="1" t="s">
        <v>178</v>
      </c>
      <c r="B151" s="2" t="s">
        <v>6</v>
      </c>
      <c r="C151" s="2" t="s">
        <v>19</v>
      </c>
      <c r="D151" s="2">
        <v>768</v>
      </c>
      <c r="E151" s="2" t="s">
        <v>205</v>
      </c>
      <c r="F151" s="4">
        <v>39282</v>
      </c>
      <c r="G151" s="2" t="s">
        <v>225</v>
      </c>
      <c r="H151" s="4">
        <v>39183</v>
      </c>
    </row>
    <row r="152" spans="1:8" ht="18" x14ac:dyDescent="0.2">
      <c r="A152" s="1" t="s">
        <v>178</v>
      </c>
      <c r="B152" s="2" t="s">
        <v>6</v>
      </c>
      <c r="C152" s="2" t="s">
        <v>19</v>
      </c>
      <c r="D152" s="2">
        <v>768</v>
      </c>
      <c r="E152" s="2" t="s">
        <v>207</v>
      </c>
      <c r="F152" s="4">
        <v>39183</v>
      </c>
      <c r="G152" s="2" t="s">
        <v>225</v>
      </c>
      <c r="H152" s="4">
        <v>39183</v>
      </c>
    </row>
    <row r="153" spans="1:8" ht="18" x14ac:dyDescent="0.2">
      <c r="A153" s="1" t="s">
        <v>178</v>
      </c>
      <c r="B153" s="2" t="s">
        <v>6</v>
      </c>
      <c r="C153" s="2" t="s">
        <v>19</v>
      </c>
      <c r="D153" s="2">
        <v>768</v>
      </c>
      <c r="E153" s="2" t="s">
        <v>207</v>
      </c>
      <c r="F153" s="4">
        <v>39183</v>
      </c>
      <c r="G153" s="2" t="s">
        <v>225</v>
      </c>
      <c r="H153" s="4">
        <v>39183</v>
      </c>
    </row>
    <row r="154" spans="1:8" ht="18" x14ac:dyDescent="0.2">
      <c r="A154" s="1" t="s">
        <v>178</v>
      </c>
      <c r="B154" s="2" t="s">
        <v>6</v>
      </c>
      <c r="C154" s="2" t="s">
        <v>19</v>
      </c>
      <c r="D154" s="2">
        <v>768</v>
      </c>
      <c r="E154" s="2" t="s">
        <v>205</v>
      </c>
      <c r="F154" s="4">
        <v>39172</v>
      </c>
      <c r="G154" s="2" t="s">
        <v>225</v>
      </c>
      <c r="H154" s="4">
        <v>39042</v>
      </c>
    </row>
    <row r="155" spans="1:8" ht="18" x14ac:dyDescent="0.2">
      <c r="A155" s="1" t="s">
        <v>178</v>
      </c>
      <c r="B155" s="2" t="s">
        <v>6</v>
      </c>
      <c r="C155" s="2" t="s">
        <v>19</v>
      </c>
      <c r="D155" s="2">
        <v>768</v>
      </c>
      <c r="E155" s="2" t="s">
        <v>207</v>
      </c>
      <c r="F155" s="4">
        <v>39042</v>
      </c>
      <c r="G155" s="2" t="s">
        <v>225</v>
      </c>
      <c r="H155" s="4">
        <v>39042</v>
      </c>
    </row>
    <row r="156" spans="1:8" ht="18" x14ac:dyDescent="0.2">
      <c r="A156" s="1" t="s">
        <v>178</v>
      </c>
      <c r="B156" s="2" t="s">
        <v>6</v>
      </c>
      <c r="C156" s="2" t="s">
        <v>19</v>
      </c>
      <c r="D156" s="2">
        <v>768</v>
      </c>
      <c r="E156" s="2" t="s">
        <v>207</v>
      </c>
      <c r="F156" s="4">
        <v>39042</v>
      </c>
      <c r="G156" s="2" t="s">
        <v>225</v>
      </c>
      <c r="H156" s="4">
        <v>39042</v>
      </c>
    </row>
    <row r="157" spans="1:8" ht="18" x14ac:dyDescent="0.2">
      <c r="A157" s="1" t="s">
        <v>162</v>
      </c>
      <c r="B157" s="2" t="s">
        <v>6</v>
      </c>
      <c r="C157" s="2" t="s">
        <v>7</v>
      </c>
      <c r="D157" s="2">
        <v>164</v>
      </c>
      <c r="E157" s="2" t="s">
        <v>205</v>
      </c>
      <c r="F157" s="4">
        <v>39911</v>
      </c>
      <c r="G157" s="2" t="s">
        <v>225</v>
      </c>
      <c r="H157" s="4">
        <v>39911</v>
      </c>
    </row>
    <row r="158" spans="1:8" ht="18" x14ac:dyDescent="0.2">
      <c r="A158" s="1" t="s">
        <v>162</v>
      </c>
      <c r="B158" s="2" t="s">
        <v>6</v>
      </c>
      <c r="C158" s="2" t="s">
        <v>7</v>
      </c>
      <c r="D158" s="2">
        <v>164</v>
      </c>
      <c r="E158" s="2" t="s">
        <v>207</v>
      </c>
      <c r="F158" s="4">
        <v>39911</v>
      </c>
      <c r="G158" s="2" t="s">
        <v>225</v>
      </c>
      <c r="H158" s="4">
        <v>39911</v>
      </c>
    </row>
    <row r="159" spans="1:8" ht="18" x14ac:dyDescent="0.2">
      <c r="A159" s="1" t="s">
        <v>211</v>
      </c>
      <c r="B159" s="2" t="s">
        <v>6</v>
      </c>
      <c r="C159" s="2" t="s">
        <v>7</v>
      </c>
      <c r="D159" s="2">
        <v>365</v>
      </c>
      <c r="E159" s="2" t="s">
        <v>205</v>
      </c>
      <c r="F159" s="4">
        <v>37236</v>
      </c>
      <c r="G159" s="2" t="s">
        <v>225</v>
      </c>
      <c r="H159" s="4">
        <v>37000</v>
      </c>
    </row>
    <row r="160" spans="1:8" ht="18" x14ac:dyDescent="0.2">
      <c r="A160" s="1" t="s">
        <v>240</v>
      </c>
      <c r="B160" s="2" t="s">
        <v>6</v>
      </c>
      <c r="C160" s="2" t="s">
        <v>7</v>
      </c>
      <c r="D160" s="2">
        <v>307</v>
      </c>
      <c r="E160" s="2" t="s">
        <v>205</v>
      </c>
      <c r="F160" s="4">
        <v>39297</v>
      </c>
      <c r="G160" s="2" t="s">
        <v>225</v>
      </c>
      <c r="H160" s="4">
        <v>39248</v>
      </c>
    </row>
    <row r="161" spans="1:8" ht="18" x14ac:dyDescent="0.2">
      <c r="A161" s="1" t="s">
        <v>240</v>
      </c>
      <c r="B161" s="2" t="s">
        <v>6</v>
      </c>
      <c r="C161" s="2" t="s">
        <v>7</v>
      </c>
      <c r="D161" s="2">
        <v>307</v>
      </c>
      <c r="E161" s="2" t="s">
        <v>207</v>
      </c>
      <c r="F161" s="4">
        <v>39248</v>
      </c>
      <c r="G161" s="2" t="s">
        <v>225</v>
      </c>
      <c r="H161" s="4">
        <v>39248</v>
      </c>
    </row>
    <row r="162" spans="1:8" ht="18" x14ac:dyDescent="0.2">
      <c r="A162" s="1" t="s">
        <v>240</v>
      </c>
      <c r="B162" s="2" t="s">
        <v>6</v>
      </c>
      <c r="C162" s="2" t="s">
        <v>7</v>
      </c>
      <c r="D162" s="2">
        <v>307</v>
      </c>
      <c r="E162" s="2" t="s">
        <v>205</v>
      </c>
      <c r="F162" s="4">
        <v>37041</v>
      </c>
      <c r="G162" s="2" t="s">
        <v>225</v>
      </c>
      <c r="H162" s="4">
        <v>36899</v>
      </c>
    </row>
    <row r="163" spans="1:8" ht="18" x14ac:dyDescent="0.2">
      <c r="A163" s="1" t="s">
        <v>241</v>
      </c>
      <c r="B163" s="2" t="s">
        <v>6</v>
      </c>
      <c r="C163" s="2" t="s">
        <v>7</v>
      </c>
      <c r="D163" s="2">
        <v>204</v>
      </c>
      <c r="E163" s="2" t="s">
        <v>214</v>
      </c>
      <c r="F163" s="4">
        <v>40637</v>
      </c>
      <c r="G163" s="2" t="s">
        <v>225</v>
      </c>
      <c r="H163" s="4">
        <v>40112</v>
      </c>
    </row>
    <row r="164" spans="1:8" ht="18" x14ac:dyDescent="0.2">
      <c r="A164" s="1" t="s">
        <v>241</v>
      </c>
      <c r="B164" s="2" t="s">
        <v>6</v>
      </c>
      <c r="C164" s="2" t="s">
        <v>7</v>
      </c>
      <c r="D164" s="2">
        <v>204</v>
      </c>
      <c r="E164" s="2" t="s">
        <v>205</v>
      </c>
      <c r="F164" s="4">
        <v>40637</v>
      </c>
      <c r="G164" s="2" t="s">
        <v>225</v>
      </c>
      <c r="H164" s="4">
        <v>40112</v>
      </c>
    </row>
    <row r="165" spans="1:8" ht="18" x14ac:dyDescent="0.2">
      <c r="A165" s="1" t="s">
        <v>241</v>
      </c>
      <c r="B165" s="2" t="s">
        <v>6</v>
      </c>
      <c r="C165" s="2" t="s">
        <v>7</v>
      </c>
      <c r="D165" s="2">
        <v>204</v>
      </c>
      <c r="E165" s="2" t="s">
        <v>207</v>
      </c>
      <c r="F165" s="4">
        <v>40113</v>
      </c>
      <c r="G165" s="2" t="s">
        <v>225</v>
      </c>
      <c r="H165" s="4">
        <v>40112</v>
      </c>
    </row>
    <row r="166" spans="1:8" ht="18" x14ac:dyDescent="0.2">
      <c r="A166" s="1" t="s">
        <v>241</v>
      </c>
      <c r="B166" s="2" t="s">
        <v>6</v>
      </c>
      <c r="C166" s="2" t="s">
        <v>7</v>
      </c>
      <c r="D166" s="2">
        <v>204</v>
      </c>
      <c r="E166" s="2" t="s">
        <v>205</v>
      </c>
      <c r="F166" s="4">
        <v>39967</v>
      </c>
      <c r="G166" s="2" t="s">
        <v>225</v>
      </c>
      <c r="H166" s="4">
        <v>39856</v>
      </c>
    </row>
    <row r="167" spans="1:8" ht="18" x14ac:dyDescent="0.2">
      <c r="A167" s="1" t="s">
        <v>241</v>
      </c>
      <c r="B167" s="2" t="s">
        <v>6</v>
      </c>
      <c r="C167" s="2" t="s">
        <v>7</v>
      </c>
      <c r="D167" s="2">
        <v>204</v>
      </c>
      <c r="E167" s="2" t="s">
        <v>207</v>
      </c>
      <c r="F167" s="4">
        <v>39857</v>
      </c>
      <c r="G167" s="2" t="s">
        <v>225</v>
      </c>
      <c r="H167" s="4">
        <v>39856</v>
      </c>
    </row>
    <row r="168" spans="1:8" ht="18" x14ac:dyDescent="0.2">
      <c r="A168" s="1" t="s">
        <v>241</v>
      </c>
      <c r="B168" s="2" t="s">
        <v>6</v>
      </c>
      <c r="C168" s="2" t="s">
        <v>7</v>
      </c>
      <c r="D168" s="2">
        <v>204</v>
      </c>
      <c r="E168" s="2" t="s">
        <v>205</v>
      </c>
      <c r="F168" s="4">
        <v>39647</v>
      </c>
      <c r="G168" s="2" t="s">
        <v>225</v>
      </c>
      <c r="H168" s="4">
        <v>39477</v>
      </c>
    </row>
    <row r="169" spans="1:8" ht="18" x14ac:dyDescent="0.2">
      <c r="A169" s="1" t="s">
        <v>241</v>
      </c>
      <c r="B169" s="2" t="s">
        <v>6</v>
      </c>
      <c r="C169" s="2" t="s">
        <v>7</v>
      </c>
      <c r="D169" s="2">
        <v>204</v>
      </c>
      <c r="E169" s="2" t="s">
        <v>207</v>
      </c>
      <c r="F169" s="4">
        <v>39477</v>
      </c>
      <c r="G169" s="2" t="s">
        <v>225</v>
      </c>
      <c r="H169" s="4">
        <v>39477</v>
      </c>
    </row>
    <row r="170" spans="1:8" ht="18" x14ac:dyDescent="0.2">
      <c r="A170" s="1" t="s">
        <v>241</v>
      </c>
      <c r="B170" s="2" t="s">
        <v>6</v>
      </c>
      <c r="C170" s="2" t="s">
        <v>7</v>
      </c>
      <c r="D170" s="2">
        <v>204</v>
      </c>
      <c r="E170" s="2" t="s">
        <v>207</v>
      </c>
      <c r="F170" s="4">
        <v>37880</v>
      </c>
      <c r="G170" s="2" t="s">
        <v>225</v>
      </c>
      <c r="H170" s="4">
        <v>37880</v>
      </c>
    </row>
    <row r="171" spans="1:8" ht="18" x14ac:dyDescent="0.2">
      <c r="A171" s="1" t="s">
        <v>241</v>
      </c>
      <c r="B171" s="2" t="s">
        <v>6</v>
      </c>
      <c r="C171" s="2" t="s">
        <v>7</v>
      </c>
      <c r="D171" s="2">
        <v>204</v>
      </c>
      <c r="E171" s="2" t="s">
        <v>205</v>
      </c>
      <c r="F171" s="4">
        <v>36921</v>
      </c>
      <c r="G171" s="2" t="s">
        <v>225</v>
      </c>
      <c r="H171" s="4">
        <v>36819</v>
      </c>
    </row>
    <row r="172" spans="1:8" ht="18" x14ac:dyDescent="0.2">
      <c r="A172" s="1" t="s">
        <v>242</v>
      </c>
      <c r="B172" s="2" t="s">
        <v>6</v>
      </c>
      <c r="C172" s="2" t="s">
        <v>7</v>
      </c>
      <c r="D172" s="2">
        <v>324</v>
      </c>
      <c r="E172" s="2" t="s">
        <v>205</v>
      </c>
      <c r="F172" s="4">
        <v>39524</v>
      </c>
      <c r="G172" s="2" t="s">
        <v>225</v>
      </c>
      <c r="H172" s="4">
        <v>39499</v>
      </c>
    </row>
    <row r="173" spans="1:8" ht="18" x14ac:dyDescent="0.2">
      <c r="A173" s="1" t="s">
        <v>242</v>
      </c>
      <c r="B173" s="2" t="s">
        <v>6</v>
      </c>
      <c r="C173" s="2" t="s">
        <v>7</v>
      </c>
      <c r="D173" s="2">
        <v>324</v>
      </c>
      <c r="E173" s="2" t="s">
        <v>207</v>
      </c>
      <c r="F173" s="4">
        <v>39499</v>
      </c>
      <c r="G173" s="2" t="s">
        <v>225</v>
      </c>
      <c r="H173" s="4">
        <v>39499</v>
      </c>
    </row>
    <row r="174" spans="1:8" ht="18" x14ac:dyDescent="0.2">
      <c r="A174" s="1" t="s">
        <v>242</v>
      </c>
      <c r="B174" s="2" t="s">
        <v>6</v>
      </c>
      <c r="C174" s="2" t="s">
        <v>7</v>
      </c>
      <c r="D174" s="2">
        <v>324</v>
      </c>
      <c r="E174" s="2" t="s">
        <v>205</v>
      </c>
      <c r="F174" s="4">
        <v>36921</v>
      </c>
      <c r="G174" s="2" t="s">
        <v>225</v>
      </c>
      <c r="H174" s="4">
        <v>36755</v>
      </c>
    </row>
    <row r="175" spans="1:8" ht="18" x14ac:dyDescent="0.2">
      <c r="A175" s="1" t="s">
        <v>135</v>
      </c>
      <c r="B175" s="2" t="s">
        <v>6</v>
      </c>
      <c r="C175" s="2" t="s">
        <v>7</v>
      </c>
      <c r="D175" s="2">
        <v>451</v>
      </c>
      <c r="E175" s="2" t="s">
        <v>205</v>
      </c>
      <c r="F175" s="4">
        <v>40126</v>
      </c>
      <c r="G175" s="2" t="s">
        <v>225</v>
      </c>
      <c r="H175" s="4">
        <v>39791</v>
      </c>
    </row>
    <row r="176" spans="1:8" ht="18" x14ac:dyDescent="0.2">
      <c r="A176" s="1" t="s">
        <v>135</v>
      </c>
      <c r="B176" s="2" t="s">
        <v>6</v>
      </c>
      <c r="C176" s="2" t="s">
        <v>7</v>
      </c>
      <c r="D176" s="2">
        <v>451</v>
      </c>
      <c r="E176" s="2" t="s">
        <v>207</v>
      </c>
      <c r="F176" s="4">
        <v>39791</v>
      </c>
      <c r="G176" s="2" t="s">
        <v>225</v>
      </c>
      <c r="H176" s="4">
        <v>39791</v>
      </c>
    </row>
    <row r="177" spans="1:8" ht="18" x14ac:dyDescent="0.2">
      <c r="A177" s="1" t="s">
        <v>135</v>
      </c>
      <c r="B177" s="2" t="s">
        <v>6</v>
      </c>
      <c r="C177" s="2" t="s">
        <v>7</v>
      </c>
      <c r="D177" s="2">
        <v>451</v>
      </c>
      <c r="E177" s="2" t="s">
        <v>205</v>
      </c>
      <c r="F177" s="4">
        <v>37776</v>
      </c>
      <c r="G177" s="2" t="s">
        <v>225</v>
      </c>
      <c r="H177" s="4">
        <v>37462</v>
      </c>
    </row>
    <row r="178" spans="1:8" ht="18" x14ac:dyDescent="0.2">
      <c r="A178" s="1" t="s">
        <v>135</v>
      </c>
      <c r="B178" s="2" t="s">
        <v>6</v>
      </c>
      <c r="C178" s="2" t="s">
        <v>7</v>
      </c>
      <c r="D178" s="2">
        <v>451</v>
      </c>
      <c r="E178" s="2" t="s">
        <v>207</v>
      </c>
      <c r="F178" s="4">
        <v>37463</v>
      </c>
      <c r="G178" s="2" t="s">
        <v>225</v>
      </c>
      <c r="H178" s="4">
        <v>37462</v>
      </c>
    </row>
    <row r="179" spans="1:8" ht="18" x14ac:dyDescent="0.2">
      <c r="A179" s="1" t="s">
        <v>131</v>
      </c>
      <c r="B179" s="2" t="s">
        <v>6</v>
      </c>
      <c r="C179" s="2" t="s">
        <v>7</v>
      </c>
      <c r="D179" s="2">
        <v>250</v>
      </c>
      <c r="E179" s="2" t="s">
        <v>205</v>
      </c>
      <c r="F179" s="4">
        <v>36595</v>
      </c>
      <c r="G179" s="2" t="s">
        <v>225</v>
      </c>
      <c r="H179" s="4">
        <v>36500</v>
      </c>
    </row>
    <row r="180" spans="1:8" ht="18" x14ac:dyDescent="0.2">
      <c r="A180" s="1" t="s">
        <v>131</v>
      </c>
      <c r="B180" s="2" t="s">
        <v>6</v>
      </c>
      <c r="C180" s="2" t="s">
        <v>7</v>
      </c>
      <c r="D180" s="2">
        <v>276</v>
      </c>
      <c r="E180" s="2" t="s">
        <v>214</v>
      </c>
      <c r="F180" s="4">
        <v>36453</v>
      </c>
      <c r="G180" s="2" t="s">
        <v>225</v>
      </c>
      <c r="H180" s="4">
        <v>36432</v>
      </c>
    </row>
    <row r="181" spans="1:8" ht="18" x14ac:dyDescent="0.2">
      <c r="A181" s="1" t="s">
        <v>93</v>
      </c>
      <c r="B181" s="2" t="s">
        <v>6</v>
      </c>
      <c r="C181" s="2" t="s">
        <v>7</v>
      </c>
      <c r="D181" s="2">
        <v>275</v>
      </c>
      <c r="E181" s="2" t="s">
        <v>205</v>
      </c>
      <c r="F181" s="4">
        <v>36563</v>
      </c>
      <c r="G181" s="2" t="s">
        <v>225</v>
      </c>
      <c r="H181" s="4">
        <v>36432</v>
      </c>
    </row>
    <row r="182" spans="1:8" ht="18" x14ac:dyDescent="0.2">
      <c r="A182" s="1" t="s">
        <v>243</v>
      </c>
      <c r="B182" s="2" t="s">
        <v>6</v>
      </c>
      <c r="C182" s="2" t="s">
        <v>7</v>
      </c>
      <c r="D182" s="2">
        <v>164</v>
      </c>
      <c r="E182" s="2" t="s">
        <v>205</v>
      </c>
      <c r="F182" s="4">
        <v>40144</v>
      </c>
      <c r="G182" s="2" t="s">
        <v>225</v>
      </c>
      <c r="H182" s="4">
        <v>39911</v>
      </c>
    </row>
    <row r="183" spans="1:8" ht="18" x14ac:dyDescent="0.2">
      <c r="A183" s="1" t="s">
        <v>243</v>
      </c>
      <c r="B183" s="2" t="s">
        <v>6</v>
      </c>
      <c r="C183" s="2" t="s">
        <v>7</v>
      </c>
      <c r="D183" s="2">
        <v>164</v>
      </c>
      <c r="E183" s="2" t="s">
        <v>207</v>
      </c>
      <c r="F183" s="4">
        <v>39911</v>
      </c>
      <c r="G183" s="2" t="s">
        <v>225</v>
      </c>
      <c r="H183" s="4">
        <v>39911</v>
      </c>
    </row>
    <row r="184" spans="1:8" ht="18" x14ac:dyDescent="0.2">
      <c r="A184" s="1" t="s">
        <v>243</v>
      </c>
      <c r="B184" s="2" t="s">
        <v>6</v>
      </c>
      <c r="C184" s="2" t="s">
        <v>7</v>
      </c>
      <c r="D184" s="2">
        <v>164</v>
      </c>
      <c r="E184" s="2" t="s">
        <v>207</v>
      </c>
      <c r="F184" s="4">
        <v>39911</v>
      </c>
      <c r="G184" s="2" t="s">
        <v>225</v>
      </c>
      <c r="H184" s="4">
        <v>39911</v>
      </c>
    </row>
    <row r="185" spans="1:8" ht="18" x14ac:dyDescent="0.2">
      <c r="A185" s="1" t="s">
        <v>244</v>
      </c>
      <c r="B185" s="2" t="s">
        <v>6</v>
      </c>
      <c r="C185" s="2" t="s">
        <v>7</v>
      </c>
      <c r="D185" s="2">
        <v>195</v>
      </c>
      <c r="E185" s="2" t="s">
        <v>205</v>
      </c>
      <c r="F185" s="4">
        <v>35969</v>
      </c>
      <c r="G185" s="2" t="s">
        <v>225</v>
      </c>
      <c r="H185" s="4">
        <v>35965</v>
      </c>
    </row>
    <row r="186" spans="1:8" ht="18" x14ac:dyDescent="0.2">
      <c r="A186" s="1" t="s">
        <v>244</v>
      </c>
      <c r="B186" s="2" t="s">
        <v>6</v>
      </c>
      <c r="C186" s="2" t="s">
        <v>7</v>
      </c>
      <c r="D186" s="2">
        <v>195</v>
      </c>
      <c r="E186" s="2" t="s">
        <v>205</v>
      </c>
      <c r="F186" s="4">
        <v>35935</v>
      </c>
      <c r="G186" s="2" t="s">
        <v>225</v>
      </c>
      <c r="H186" s="4">
        <v>35912</v>
      </c>
    </row>
    <row r="187" spans="1:8" ht="18" x14ac:dyDescent="0.2">
      <c r="A187" s="1" t="s">
        <v>245</v>
      </c>
      <c r="B187" s="2" t="s">
        <v>6</v>
      </c>
      <c r="C187" s="2" t="s">
        <v>7</v>
      </c>
      <c r="D187" s="2">
        <v>182</v>
      </c>
      <c r="E187" s="2" t="s">
        <v>205</v>
      </c>
      <c r="F187" s="4">
        <v>36364</v>
      </c>
      <c r="G187" s="2" t="s">
        <v>225</v>
      </c>
      <c r="H187" s="4">
        <v>36062</v>
      </c>
    </row>
    <row r="188" spans="1:8" ht="18" x14ac:dyDescent="0.2">
      <c r="A188" s="1" t="s">
        <v>246</v>
      </c>
      <c r="B188" s="2" t="s">
        <v>6</v>
      </c>
      <c r="C188" s="2" t="s">
        <v>7</v>
      </c>
      <c r="D188" s="2">
        <v>222</v>
      </c>
      <c r="E188" s="2" t="s">
        <v>214</v>
      </c>
      <c r="F188" s="4">
        <v>39527</v>
      </c>
      <c r="G188" s="2" t="s">
        <v>225</v>
      </c>
      <c r="H188" s="4">
        <v>39463</v>
      </c>
    </row>
    <row r="189" spans="1:8" ht="18" x14ac:dyDescent="0.2">
      <c r="A189" s="1" t="s">
        <v>246</v>
      </c>
      <c r="B189" s="2" t="s">
        <v>6</v>
      </c>
      <c r="C189" s="2" t="s">
        <v>7</v>
      </c>
      <c r="D189" s="2">
        <v>222</v>
      </c>
      <c r="E189" s="2" t="s">
        <v>205</v>
      </c>
      <c r="F189" s="4">
        <v>39527</v>
      </c>
      <c r="G189" s="2" t="s">
        <v>225</v>
      </c>
      <c r="H189" s="4">
        <v>39463</v>
      </c>
    </row>
    <row r="190" spans="1:8" ht="18" x14ac:dyDescent="0.2">
      <c r="A190" s="1" t="s">
        <v>246</v>
      </c>
      <c r="B190" s="2" t="s">
        <v>6</v>
      </c>
      <c r="C190" s="2" t="s">
        <v>7</v>
      </c>
      <c r="D190" s="2">
        <v>222</v>
      </c>
      <c r="E190" s="2" t="s">
        <v>207</v>
      </c>
      <c r="F190" s="4">
        <v>39463</v>
      </c>
      <c r="G190" s="2" t="s">
        <v>225</v>
      </c>
      <c r="H190" s="4">
        <v>39463</v>
      </c>
    </row>
    <row r="191" spans="1:8" ht="18" x14ac:dyDescent="0.2">
      <c r="A191" s="1" t="s">
        <v>247</v>
      </c>
      <c r="B191" s="2" t="s">
        <v>6</v>
      </c>
      <c r="C191" s="2" t="s">
        <v>7</v>
      </c>
      <c r="D191" s="2">
        <v>241</v>
      </c>
      <c r="E191" s="2" t="s">
        <v>205</v>
      </c>
      <c r="F191" s="4">
        <v>36507</v>
      </c>
      <c r="G191" s="2" t="s">
        <v>225</v>
      </c>
      <c r="H191" s="4">
        <v>36298</v>
      </c>
    </row>
    <row r="192" spans="1:8" ht="18" x14ac:dyDescent="0.2">
      <c r="A192" s="1" t="s">
        <v>106</v>
      </c>
      <c r="B192" s="2" t="s">
        <v>6</v>
      </c>
      <c r="C192" s="2" t="s">
        <v>7</v>
      </c>
      <c r="D192" s="2">
        <v>339</v>
      </c>
      <c r="E192" s="2" t="s">
        <v>205</v>
      </c>
      <c r="F192" s="4">
        <v>37215</v>
      </c>
      <c r="G192" s="2" t="s">
        <v>225</v>
      </c>
      <c r="H192" s="4">
        <v>36829</v>
      </c>
    </row>
    <row r="193" spans="1:8" ht="18" x14ac:dyDescent="0.2">
      <c r="A193" s="1" t="s">
        <v>248</v>
      </c>
      <c r="B193" s="2" t="s">
        <v>6</v>
      </c>
      <c r="C193" s="2" t="s">
        <v>19</v>
      </c>
      <c r="D193" s="2">
        <v>864</v>
      </c>
      <c r="E193" s="2" t="s">
        <v>205</v>
      </c>
      <c r="F193" s="4">
        <v>39822</v>
      </c>
      <c r="G193" s="2" t="s">
        <v>225</v>
      </c>
      <c r="H193" s="4">
        <v>39461</v>
      </c>
    </row>
    <row r="194" spans="1:8" ht="18" x14ac:dyDescent="0.2">
      <c r="A194" s="1" t="s">
        <v>248</v>
      </c>
      <c r="B194" s="2" t="s">
        <v>6</v>
      </c>
      <c r="C194" s="2" t="s">
        <v>19</v>
      </c>
      <c r="D194" s="2">
        <v>864</v>
      </c>
      <c r="E194" s="2" t="s">
        <v>207</v>
      </c>
      <c r="F194" s="4">
        <v>39461</v>
      </c>
      <c r="G194" s="2" t="s">
        <v>225</v>
      </c>
      <c r="H194" s="4">
        <v>39461</v>
      </c>
    </row>
    <row r="195" spans="1:8" ht="18" x14ac:dyDescent="0.2">
      <c r="A195" s="1" t="s">
        <v>248</v>
      </c>
      <c r="B195" s="2" t="s">
        <v>6</v>
      </c>
      <c r="C195" s="2" t="s">
        <v>19</v>
      </c>
      <c r="D195" s="2">
        <v>864</v>
      </c>
      <c r="E195" s="2" t="s">
        <v>207</v>
      </c>
      <c r="F195" s="4">
        <v>39461</v>
      </c>
      <c r="G195" s="2" t="s">
        <v>225</v>
      </c>
      <c r="H195" s="4">
        <v>39461</v>
      </c>
    </row>
    <row r="196" spans="1:8" ht="18" x14ac:dyDescent="0.2">
      <c r="A196" s="1" t="s">
        <v>249</v>
      </c>
      <c r="B196" s="2" t="s">
        <v>6</v>
      </c>
      <c r="C196" s="2" t="s">
        <v>7</v>
      </c>
      <c r="D196" s="2">
        <v>240</v>
      </c>
      <c r="E196" s="2" t="s">
        <v>214</v>
      </c>
      <c r="F196" s="4">
        <v>39527</v>
      </c>
      <c r="G196" s="2" t="s">
        <v>225</v>
      </c>
      <c r="H196" s="4">
        <v>39463</v>
      </c>
    </row>
    <row r="197" spans="1:8" ht="18" x14ac:dyDescent="0.2">
      <c r="A197" s="1" t="s">
        <v>249</v>
      </c>
      <c r="B197" s="2" t="s">
        <v>6</v>
      </c>
      <c r="C197" s="2" t="s">
        <v>7</v>
      </c>
      <c r="D197" s="2">
        <v>240</v>
      </c>
      <c r="E197" s="2" t="s">
        <v>205</v>
      </c>
      <c r="F197" s="4">
        <v>39527</v>
      </c>
      <c r="G197" s="2" t="s">
        <v>225</v>
      </c>
      <c r="H197" s="4">
        <v>39463</v>
      </c>
    </row>
    <row r="198" spans="1:8" ht="18" x14ac:dyDescent="0.2">
      <c r="A198" s="1" t="s">
        <v>249</v>
      </c>
      <c r="B198" s="2" t="s">
        <v>6</v>
      </c>
      <c r="C198" s="2" t="s">
        <v>7</v>
      </c>
      <c r="D198" s="2">
        <v>240</v>
      </c>
      <c r="E198" s="2" t="s">
        <v>207</v>
      </c>
      <c r="F198" s="4">
        <v>39463</v>
      </c>
      <c r="G198" s="2" t="s">
        <v>225</v>
      </c>
      <c r="H198" s="4">
        <v>39463</v>
      </c>
    </row>
    <row r="199" spans="1:8" ht="18" x14ac:dyDescent="0.2">
      <c r="A199" s="1" t="s">
        <v>249</v>
      </c>
      <c r="B199" s="2" t="s">
        <v>6</v>
      </c>
      <c r="C199" s="2" t="s">
        <v>7</v>
      </c>
      <c r="D199" s="2">
        <v>240</v>
      </c>
      <c r="E199" s="2" t="s">
        <v>205</v>
      </c>
      <c r="F199" s="4">
        <v>38573</v>
      </c>
      <c r="G199" s="2" t="s">
        <v>225</v>
      </c>
      <c r="H199" s="4">
        <v>38387</v>
      </c>
    </row>
    <row r="200" spans="1:8" ht="18" x14ac:dyDescent="0.2">
      <c r="A200" s="1" t="s">
        <v>249</v>
      </c>
      <c r="B200" s="2" t="s">
        <v>6</v>
      </c>
      <c r="C200" s="2" t="s">
        <v>7</v>
      </c>
      <c r="D200" s="2">
        <v>240</v>
      </c>
      <c r="E200" s="2" t="s">
        <v>207</v>
      </c>
      <c r="F200" s="4">
        <v>38391</v>
      </c>
      <c r="G200" s="2" t="s">
        <v>225</v>
      </c>
      <c r="H200" s="4">
        <v>38387</v>
      </c>
    </row>
    <row r="201" spans="1:8" ht="18" x14ac:dyDescent="0.2">
      <c r="A201" s="1" t="s">
        <v>249</v>
      </c>
      <c r="B201" s="2" t="s">
        <v>6</v>
      </c>
      <c r="C201" s="2" t="s">
        <v>7</v>
      </c>
      <c r="D201" s="2">
        <v>240</v>
      </c>
      <c r="E201" s="2" t="s">
        <v>205</v>
      </c>
      <c r="F201" s="4">
        <v>36332</v>
      </c>
      <c r="G201" s="2" t="s">
        <v>225</v>
      </c>
      <c r="H201" s="4">
        <v>36258</v>
      </c>
    </row>
    <row r="202" spans="1:8" ht="18" x14ac:dyDescent="0.2">
      <c r="A202" s="1" t="s">
        <v>250</v>
      </c>
      <c r="B202" s="2" t="s">
        <v>6</v>
      </c>
      <c r="C202" s="2" t="s">
        <v>7</v>
      </c>
      <c r="D202" s="2">
        <v>274</v>
      </c>
      <c r="E202" s="2" t="s">
        <v>205</v>
      </c>
      <c r="F202" s="4">
        <v>40708</v>
      </c>
      <c r="G202" s="2" t="s">
        <v>225</v>
      </c>
      <c r="H202" s="4">
        <v>40632</v>
      </c>
    </row>
    <row r="203" spans="1:8" ht="18" x14ac:dyDescent="0.2">
      <c r="A203" s="1" t="s">
        <v>250</v>
      </c>
      <c r="B203" s="2" t="s">
        <v>6</v>
      </c>
      <c r="C203" s="2" t="s">
        <v>7</v>
      </c>
      <c r="D203" s="2">
        <v>274</v>
      </c>
      <c r="E203" s="2" t="s">
        <v>207</v>
      </c>
      <c r="F203" s="4">
        <v>40637</v>
      </c>
      <c r="G203" s="2" t="s">
        <v>225</v>
      </c>
      <c r="H203" s="4">
        <v>40632</v>
      </c>
    </row>
    <row r="204" spans="1:8" ht="18" x14ac:dyDescent="0.2">
      <c r="A204" s="1" t="s">
        <v>139</v>
      </c>
      <c r="B204" s="2" t="s">
        <v>6</v>
      </c>
      <c r="C204" s="2" t="s">
        <v>7</v>
      </c>
      <c r="D204" s="2">
        <v>207</v>
      </c>
      <c r="E204" s="2" t="s">
        <v>205</v>
      </c>
      <c r="F204" s="4">
        <v>42130</v>
      </c>
      <c r="G204" s="2" t="s">
        <v>251</v>
      </c>
      <c r="H204" s="4">
        <v>40961</v>
      </c>
    </row>
    <row r="205" spans="1:8" ht="18" x14ac:dyDescent="0.2">
      <c r="A205" s="1" t="s">
        <v>139</v>
      </c>
      <c r="B205" s="2" t="s">
        <v>6</v>
      </c>
      <c r="C205" s="2" t="s">
        <v>7</v>
      </c>
      <c r="D205" s="2">
        <v>207</v>
      </c>
      <c r="E205" s="2" t="s">
        <v>207</v>
      </c>
      <c r="F205" s="4">
        <v>40962</v>
      </c>
      <c r="G205" s="2" t="s">
        <v>251</v>
      </c>
      <c r="H205" s="4">
        <v>40961</v>
      </c>
    </row>
    <row r="206" spans="1:8" ht="18" x14ac:dyDescent="0.2">
      <c r="A206" s="1" t="s">
        <v>252</v>
      </c>
      <c r="B206" s="2" t="s">
        <v>6</v>
      </c>
      <c r="C206" s="2" t="s">
        <v>7</v>
      </c>
      <c r="D206" s="2">
        <v>308</v>
      </c>
      <c r="E206" s="2" t="s">
        <v>205</v>
      </c>
      <c r="F206" s="4">
        <v>41667</v>
      </c>
      <c r="G206" s="2" t="s">
        <v>251</v>
      </c>
      <c r="H206" s="4">
        <v>41583</v>
      </c>
    </row>
    <row r="207" spans="1:8" ht="18" x14ac:dyDescent="0.2">
      <c r="A207" s="1" t="s">
        <v>252</v>
      </c>
      <c r="B207" s="2" t="s">
        <v>6</v>
      </c>
      <c r="C207" s="2" t="s">
        <v>7</v>
      </c>
      <c r="D207" s="2">
        <v>308</v>
      </c>
      <c r="E207" s="2" t="s">
        <v>207</v>
      </c>
      <c r="F207" s="4">
        <v>41584</v>
      </c>
      <c r="G207" s="2" t="s">
        <v>251</v>
      </c>
      <c r="H207" s="4">
        <v>41583</v>
      </c>
    </row>
    <row r="208" spans="1:8" ht="18" x14ac:dyDescent="0.2">
      <c r="A208" s="1" t="s">
        <v>228</v>
      </c>
      <c r="B208" s="2" t="s">
        <v>6</v>
      </c>
      <c r="C208" s="2" t="s">
        <v>7</v>
      </c>
      <c r="D208" s="2">
        <v>491</v>
      </c>
      <c r="E208" s="2" t="s">
        <v>214</v>
      </c>
      <c r="F208" s="4">
        <v>42111</v>
      </c>
      <c r="G208" s="2" t="s">
        <v>251</v>
      </c>
      <c r="H208" s="4">
        <v>42103</v>
      </c>
    </row>
    <row r="209" spans="1:8" ht="18" x14ac:dyDescent="0.2">
      <c r="A209" s="1" t="s">
        <v>228</v>
      </c>
      <c r="B209" s="2" t="s">
        <v>6</v>
      </c>
      <c r="C209" s="2" t="s">
        <v>7</v>
      </c>
      <c r="D209" s="2">
        <v>491</v>
      </c>
      <c r="E209" s="2" t="s">
        <v>205</v>
      </c>
      <c r="F209" s="4">
        <v>42111</v>
      </c>
      <c r="G209" s="2" t="s">
        <v>251</v>
      </c>
      <c r="H209" s="4">
        <v>42103</v>
      </c>
    </row>
    <row r="210" spans="1:8" ht="18" x14ac:dyDescent="0.2">
      <c r="A210" s="1" t="s">
        <v>228</v>
      </c>
      <c r="B210" s="2" t="s">
        <v>6</v>
      </c>
      <c r="C210" s="2" t="s">
        <v>7</v>
      </c>
      <c r="D210" s="2">
        <v>491</v>
      </c>
      <c r="E210" s="2" t="s">
        <v>207</v>
      </c>
      <c r="F210" s="4">
        <v>42103</v>
      </c>
      <c r="G210" s="2" t="s">
        <v>251</v>
      </c>
      <c r="H210" s="4">
        <v>42103</v>
      </c>
    </row>
    <row r="211" spans="1:8" ht="18" x14ac:dyDescent="0.2">
      <c r="A211" s="1" t="s">
        <v>228</v>
      </c>
      <c r="B211" s="2" t="s">
        <v>6</v>
      </c>
      <c r="C211" s="2" t="s">
        <v>7</v>
      </c>
      <c r="D211" s="2">
        <v>491</v>
      </c>
      <c r="E211" s="2" t="s">
        <v>207</v>
      </c>
      <c r="F211" s="4">
        <v>42103</v>
      </c>
      <c r="G211" s="2" t="s">
        <v>251</v>
      </c>
      <c r="H211" s="4">
        <v>42103</v>
      </c>
    </row>
    <row r="212" spans="1:8" ht="18" x14ac:dyDescent="0.2">
      <c r="A212" s="1" t="s">
        <v>12</v>
      </c>
      <c r="B212" s="2" t="s">
        <v>6</v>
      </c>
      <c r="C212" s="2" t="s">
        <v>13</v>
      </c>
      <c r="D212" s="2">
        <v>1297</v>
      </c>
      <c r="E212" s="2" t="s">
        <v>205</v>
      </c>
      <c r="F212" s="4">
        <v>40878</v>
      </c>
      <c r="G212" s="2" t="s">
        <v>251</v>
      </c>
      <c r="H212" s="4">
        <v>40787</v>
      </c>
    </row>
    <row r="213" spans="1:8" ht="18" x14ac:dyDescent="0.2">
      <c r="A213" s="1" t="s">
        <v>12</v>
      </c>
      <c r="B213" s="2" t="s">
        <v>6</v>
      </c>
      <c r="C213" s="2" t="s">
        <v>13</v>
      </c>
      <c r="D213" s="2">
        <v>1297</v>
      </c>
      <c r="E213" s="2" t="s">
        <v>207</v>
      </c>
      <c r="F213" s="4">
        <v>40787</v>
      </c>
      <c r="G213" s="2" t="s">
        <v>251</v>
      </c>
      <c r="H213" s="4">
        <v>40787</v>
      </c>
    </row>
    <row r="214" spans="1:8" ht="18" x14ac:dyDescent="0.2">
      <c r="A214" s="1" t="s">
        <v>12</v>
      </c>
      <c r="B214" s="2" t="s">
        <v>6</v>
      </c>
      <c r="C214" s="2" t="s">
        <v>13</v>
      </c>
      <c r="D214" s="2">
        <v>1297</v>
      </c>
      <c r="E214" s="2" t="s">
        <v>207</v>
      </c>
      <c r="F214" s="4">
        <v>40787</v>
      </c>
      <c r="G214" s="2" t="s">
        <v>251</v>
      </c>
      <c r="H214" s="4">
        <v>40787</v>
      </c>
    </row>
    <row r="215" spans="1:8" ht="18" x14ac:dyDescent="0.2">
      <c r="A215" s="1" t="s">
        <v>128</v>
      </c>
      <c r="B215" s="2" t="s">
        <v>6</v>
      </c>
      <c r="C215" s="2" t="s">
        <v>7</v>
      </c>
      <c r="D215" s="2">
        <v>272</v>
      </c>
      <c r="E215" s="2" t="s">
        <v>205</v>
      </c>
      <c r="F215" s="4">
        <v>41163</v>
      </c>
      <c r="G215" s="2" t="s">
        <v>251</v>
      </c>
      <c r="H215" s="4">
        <v>41130</v>
      </c>
    </row>
    <row r="216" spans="1:8" ht="18" x14ac:dyDescent="0.2">
      <c r="A216" s="1" t="s">
        <v>128</v>
      </c>
      <c r="B216" s="2" t="s">
        <v>6</v>
      </c>
      <c r="C216" s="2" t="s">
        <v>7</v>
      </c>
      <c r="D216" s="2">
        <v>272</v>
      </c>
      <c r="E216" s="2" t="s">
        <v>207</v>
      </c>
      <c r="F216" s="4">
        <v>41134</v>
      </c>
      <c r="G216" s="2" t="s">
        <v>251</v>
      </c>
      <c r="H216" s="4">
        <v>41130</v>
      </c>
    </row>
    <row r="217" spans="1:8" ht="18" x14ac:dyDescent="0.2">
      <c r="A217" s="1" t="s">
        <v>253</v>
      </c>
      <c r="B217" s="2" t="s">
        <v>6</v>
      </c>
      <c r="C217" s="2" t="s">
        <v>7</v>
      </c>
      <c r="D217" s="2">
        <v>272</v>
      </c>
      <c r="E217" s="2" t="s">
        <v>205</v>
      </c>
      <c r="F217" s="4">
        <v>41134</v>
      </c>
      <c r="G217" s="2" t="s">
        <v>251</v>
      </c>
      <c r="H217" s="4">
        <v>41130</v>
      </c>
    </row>
    <row r="218" spans="1:8" ht="18" x14ac:dyDescent="0.2">
      <c r="A218" s="1" t="s">
        <v>253</v>
      </c>
      <c r="B218" s="2" t="s">
        <v>6</v>
      </c>
      <c r="C218" s="2" t="s">
        <v>7</v>
      </c>
      <c r="D218" s="2">
        <v>272</v>
      </c>
      <c r="E218" s="2" t="s">
        <v>207</v>
      </c>
      <c r="F218" s="4">
        <v>41130</v>
      </c>
      <c r="G218" s="2" t="s">
        <v>251</v>
      </c>
      <c r="H218" s="4">
        <v>41130</v>
      </c>
    </row>
    <row r="219" spans="1:8" ht="18" x14ac:dyDescent="0.2">
      <c r="A219" s="1" t="s">
        <v>76</v>
      </c>
      <c r="B219" s="2" t="s">
        <v>6</v>
      </c>
      <c r="C219" s="2" t="s">
        <v>19</v>
      </c>
      <c r="D219" s="2">
        <v>849</v>
      </c>
      <c r="E219" s="2" t="s">
        <v>205</v>
      </c>
      <c r="F219" s="4">
        <v>41661</v>
      </c>
      <c r="G219" s="2" t="s">
        <v>251</v>
      </c>
      <c r="H219" s="4">
        <v>39371</v>
      </c>
    </row>
    <row r="220" spans="1:8" ht="18" x14ac:dyDescent="0.2">
      <c r="A220" s="1" t="s">
        <v>76</v>
      </c>
      <c r="B220" s="2" t="s">
        <v>6</v>
      </c>
      <c r="C220" s="2" t="s">
        <v>19</v>
      </c>
      <c r="D220" s="2">
        <v>849</v>
      </c>
      <c r="E220" s="2" t="s">
        <v>207</v>
      </c>
      <c r="F220" s="4">
        <v>40709</v>
      </c>
      <c r="G220" s="2" t="s">
        <v>251</v>
      </c>
      <c r="H220" s="4">
        <v>39371</v>
      </c>
    </row>
    <row r="221" spans="1:8" ht="18" x14ac:dyDescent="0.2">
      <c r="A221" s="1" t="s">
        <v>230</v>
      </c>
      <c r="B221" s="2" t="s">
        <v>6</v>
      </c>
      <c r="C221" s="2" t="s">
        <v>13</v>
      </c>
      <c r="D221" s="2">
        <v>1208</v>
      </c>
      <c r="E221" s="2" t="s">
        <v>214</v>
      </c>
      <c r="F221" s="4">
        <v>40742</v>
      </c>
      <c r="G221" s="2" t="s">
        <v>251</v>
      </c>
      <c r="H221" s="4">
        <v>40361</v>
      </c>
    </row>
    <row r="222" spans="1:8" ht="18" x14ac:dyDescent="0.2">
      <c r="A222" s="1" t="s">
        <v>230</v>
      </c>
      <c r="B222" s="2" t="s">
        <v>6</v>
      </c>
      <c r="C222" s="2" t="s">
        <v>13</v>
      </c>
      <c r="D222" s="2">
        <v>1208</v>
      </c>
      <c r="E222" s="2" t="s">
        <v>205</v>
      </c>
      <c r="F222" s="4">
        <v>40742</v>
      </c>
      <c r="G222" s="2" t="s">
        <v>251</v>
      </c>
      <c r="H222" s="4">
        <v>40361</v>
      </c>
    </row>
    <row r="223" spans="1:8" ht="18" x14ac:dyDescent="0.2">
      <c r="A223" s="1" t="s">
        <v>230</v>
      </c>
      <c r="B223" s="2" t="s">
        <v>6</v>
      </c>
      <c r="C223" s="2" t="s">
        <v>13</v>
      </c>
      <c r="D223" s="2">
        <v>1208</v>
      </c>
      <c r="E223" s="2" t="s">
        <v>207</v>
      </c>
      <c r="F223" s="4">
        <v>40709</v>
      </c>
      <c r="G223" s="2" t="s">
        <v>251</v>
      </c>
      <c r="H223" s="4">
        <v>40361</v>
      </c>
    </row>
    <row r="224" spans="1:8" ht="18" x14ac:dyDescent="0.2">
      <c r="A224" s="1" t="s">
        <v>231</v>
      </c>
      <c r="B224" s="2" t="s">
        <v>6</v>
      </c>
      <c r="C224" s="2" t="s">
        <v>13</v>
      </c>
      <c r="D224" s="2">
        <v>1110</v>
      </c>
      <c r="E224" s="2" t="s">
        <v>205</v>
      </c>
      <c r="F224" s="4">
        <v>42088</v>
      </c>
      <c r="G224" s="2" t="s">
        <v>251</v>
      </c>
      <c r="H224" s="4">
        <v>39888</v>
      </c>
    </row>
    <row r="225" spans="1:8" ht="18" x14ac:dyDescent="0.2">
      <c r="A225" s="1" t="s">
        <v>231</v>
      </c>
      <c r="B225" s="2" t="s">
        <v>6</v>
      </c>
      <c r="C225" s="2" t="s">
        <v>13</v>
      </c>
      <c r="D225" s="2">
        <v>1110</v>
      </c>
      <c r="E225" s="2" t="s">
        <v>207</v>
      </c>
      <c r="F225" s="4">
        <v>40709</v>
      </c>
      <c r="G225" s="2" t="s">
        <v>251</v>
      </c>
      <c r="H225" s="4">
        <v>39888</v>
      </c>
    </row>
    <row r="226" spans="1:8" ht="18" x14ac:dyDescent="0.2">
      <c r="A226" s="1" t="s">
        <v>72</v>
      </c>
      <c r="B226" s="2" t="s">
        <v>6</v>
      </c>
      <c r="C226" s="2" t="s">
        <v>7</v>
      </c>
      <c r="D226" s="2">
        <v>178</v>
      </c>
      <c r="E226" s="2" t="s">
        <v>205</v>
      </c>
      <c r="F226" s="4">
        <v>40988</v>
      </c>
      <c r="G226" s="2" t="s">
        <v>251</v>
      </c>
      <c r="H226" s="4">
        <v>40821</v>
      </c>
    </row>
    <row r="227" spans="1:8" ht="18" x14ac:dyDescent="0.2">
      <c r="A227" s="1" t="s">
        <v>72</v>
      </c>
      <c r="B227" s="2" t="s">
        <v>6</v>
      </c>
      <c r="C227" s="2" t="s">
        <v>7</v>
      </c>
      <c r="D227" s="2">
        <v>178</v>
      </c>
      <c r="E227" s="2" t="s">
        <v>207</v>
      </c>
      <c r="F227" s="4">
        <v>40821</v>
      </c>
      <c r="G227" s="2" t="s">
        <v>251</v>
      </c>
      <c r="H227" s="4">
        <v>40821</v>
      </c>
    </row>
    <row r="228" spans="1:8" ht="18" x14ac:dyDescent="0.2">
      <c r="A228" s="1" t="s">
        <v>72</v>
      </c>
      <c r="B228" s="2" t="s">
        <v>6</v>
      </c>
      <c r="C228" s="2" t="s">
        <v>7</v>
      </c>
      <c r="D228" s="2">
        <v>178</v>
      </c>
      <c r="E228" s="2" t="s">
        <v>205</v>
      </c>
      <c r="F228" s="4">
        <v>40729</v>
      </c>
      <c r="G228" s="2" t="s">
        <v>251</v>
      </c>
      <c r="H228" s="4">
        <v>40497</v>
      </c>
    </row>
    <row r="229" spans="1:8" ht="18" x14ac:dyDescent="0.2">
      <c r="A229" s="1" t="s">
        <v>72</v>
      </c>
      <c r="B229" s="2" t="s">
        <v>6</v>
      </c>
      <c r="C229" s="2" t="s">
        <v>7</v>
      </c>
      <c r="D229" s="2">
        <v>178</v>
      </c>
      <c r="E229" s="2" t="s">
        <v>207</v>
      </c>
      <c r="F229" s="4">
        <v>40709</v>
      </c>
      <c r="G229" s="2" t="s">
        <v>251</v>
      </c>
      <c r="H229" s="4">
        <v>40497</v>
      </c>
    </row>
    <row r="230" spans="1:8" ht="18" x14ac:dyDescent="0.2">
      <c r="A230" s="1" t="s">
        <v>69</v>
      </c>
      <c r="B230" s="2" t="s">
        <v>6</v>
      </c>
      <c r="C230" s="2" t="s">
        <v>13</v>
      </c>
      <c r="D230" s="2">
        <v>1208</v>
      </c>
      <c r="E230" s="2" t="s">
        <v>205</v>
      </c>
      <c r="F230" s="4">
        <v>41738</v>
      </c>
      <c r="G230" s="2" t="s">
        <v>251</v>
      </c>
      <c r="H230" s="4">
        <v>41512</v>
      </c>
    </row>
    <row r="231" spans="1:8" ht="18" x14ac:dyDescent="0.2">
      <c r="A231" s="1" t="s">
        <v>69</v>
      </c>
      <c r="B231" s="2" t="s">
        <v>6</v>
      </c>
      <c r="C231" s="2" t="s">
        <v>13</v>
      </c>
      <c r="D231" s="2">
        <v>1208</v>
      </c>
      <c r="E231" s="2" t="s">
        <v>207</v>
      </c>
      <c r="F231" s="4">
        <v>41512</v>
      </c>
      <c r="G231" s="2" t="s">
        <v>251</v>
      </c>
      <c r="H231" s="4">
        <v>41512</v>
      </c>
    </row>
    <row r="232" spans="1:8" ht="18" x14ac:dyDescent="0.2">
      <c r="A232" s="1" t="s">
        <v>69</v>
      </c>
      <c r="B232" s="2" t="s">
        <v>6</v>
      </c>
      <c r="C232" s="2" t="s">
        <v>13</v>
      </c>
      <c r="D232" s="2">
        <v>1208</v>
      </c>
      <c r="E232" s="2" t="s">
        <v>205</v>
      </c>
      <c r="F232" s="4">
        <v>41436</v>
      </c>
      <c r="G232" s="2" t="s">
        <v>251</v>
      </c>
      <c r="H232" s="4">
        <v>41397</v>
      </c>
    </row>
    <row r="233" spans="1:8" ht="18" x14ac:dyDescent="0.2">
      <c r="A233" s="1" t="s">
        <v>69</v>
      </c>
      <c r="B233" s="2" t="s">
        <v>6</v>
      </c>
      <c r="C233" s="2" t="s">
        <v>13</v>
      </c>
      <c r="D233" s="2">
        <v>1208</v>
      </c>
      <c r="E233" s="2" t="s">
        <v>207</v>
      </c>
      <c r="F233" s="4">
        <v>41397</v>
      </c>
      <c r="G233" s="2" t="s">
        <v>251</v>
      </c>
      <c r="H233" s="4">
        <v>41397</v>
      </c>
    </row>
    <row r="234" spans="1:8" ht="18" x14ac:dyDescent="0.2">
      <c r="A234" s="1" t="s">
        <v>69</v>
      </c>
      <c r="B234" s="2" t="s">
        <v>6</v>
      </c>
      <c r="C234" s="2" t="s">
        <v>13</v>
      </c>
      <c r="D234" s="2">
        <v>1208</v>
      </c>
      <c r="E234" s="2" t="s">
        <v>207</v>
      </c>
      <c r="F234" s="4">
        <v>41397</v>
      </c>
      <c r="G234" s="2" t="s">
        <v>251</v>
      </c>
      <c r="H234" s="4">
        <v>41397</v>
      </c>
    </row>
    <row r="235" spans="1:8" ht="18" x14ac:dyDescent="0.2">
      <c r="A235" s="1" t="s">
        <v>144</v>
      </c>
      <c r="B235" s="2" t="s">
        <v>6</v>
      </c>
      <c r="C235" s="2" t="s">
        <v>7</v>
      </c>
      <c r="D235" s="2">
        <v>308</v>
      </c>
      <c r="E235" s="2" t="s">
        <v>205</v>
      </c>
      <c r="F235" s="4">
        <v>41830</v>
      </c>
      <c r="G235" s="2" t="s">
        <v>251</v>
      </c>
      <c r="H235" s="4">
        <v>41583</v>
      </c>
    </row>
    <row r="236" spans="1:8" ht="18" x14ac:dyDescent="0.2">
      <c r="A236" s="1" t="s">
        <v>144</v>
      </c>
      <c r="B236" s="2" t="s">
        <v>6</v>
      </c>
      <c r="C236" s="2" t="s">
        <v>7</v>
      </c>
      <c r="D236" s="2">
        <v>308</v>
      </c>
      <c r="E236" s="2" t="s">
        <v>207</v>
      </c>
      <c r="F236" s="4">
        <v>41667</v>
      </c>
      <c r="G236" s="2" t="s">
        <v>251</v>
      </c>
      <c r="H236" s="4">
        <v>41583</v>
      </c>
    </row>
    <row r="237" spans="1:8" ht="18" x14ac:dyDescent="0.2">
      <c r="A237" s="1" t="s">
        <v>130</v>
      </c>
      <c r="B237" s="2" t="s">
        <v>6</v>
      </c>
      <c r="C237" s="2" t="s">
        <v>7</v>
      </c>
      <c r="D237" s="2">
        <v>182</v>
      </c>
      <c r="E237" s="2" t="s">
        <v>205</v>
      </c>
      <c r="F237" s="4">
        <v>41830</v>
      </c>
      <c r="G237" s="2" t="s">
        <v>251</v>
      </c>
      <c r="H237" s="4">
        <v>41625</v>
      </c>
    </row>
    <row r="238" spans="1:8" ht="18" x14ac:dyDescent="0.2">
      <c r="A238" s="1" t="s">
        <v>130</v>
      </c>
      <c r="B238" s="2" t="s">
        <v>6</v>
      </c>
      <c r="C238" s="2" t="s">
        <v>7</v>
      </c>
      <c r="D238" s="2">
        <v>182</v>
      </c>
      <c r="E238" s="2" t="s">
        <v>207</v>
      </c>
      <c r="F238" s="4">
        <v>41625</v>
      </c>
      <c r="G238" s="2" t="s">
        <v>251</v>
      </c>
      <c r="H238" s="4">
        <v>41625</v>
      </c>
    </row>
    <row r="239" spans="1:8" ht="18" x14ac:dyDescent="0.2">
      <c r="A239" s="1" t="s">
        <v>130</v>
      </c>
      <c r="B239" s="2" t="s">
        <v>6</v>
      </c>
      <c r="C239" s="2" t="s">
        <v>7</v>
      </c>
      <c r="D239" s="2">
        <v>182</v>
      </c>
      <c r="E239" s="2" t="s">
        <v>207</v>
      </c>
      <c r="F239" s="4">
        <v>41625</v>
      </c>
      <c r="G239" s="2" t="s">
        <v>251</v>
      </c>
      <c r="H239" s="4">
        <v>41625</v>
      </c>
    </row>
    <row r="240" spans="1:8" ht="18" x14ac:dyDescent="0.2">
      <c r="A240" s="1" t="s">
        <v>38</v>
      </c>
      <c r="B240" s="2" t="s">
        <v>6</v>
      </c>
      <c r="C240" s="2" t="s">
        <v>13</v>
      </c>
      <c r="D240" s="2">
        <v>1040</v>
      </c>
      <c r="E240" s="2" t="s">
        <v>205</v>
      </c>
      <c r="F240" s="4">
        <v>42250</v>
      </c>
      <c r="G240" s="2" t="s">
        <v>251</v>
      </c>
      <c r="H240" s="4">
        <v>39674</v>
      </c>
    </row>
    <row r="241" spans="1:8" ht="18" x14ac:dyDescent="0.2">
      <c r="A241" s="1" t="s">
        <v>38</v>
      </c>
      <c r="B241" s="2" t="s">
        <v>6</v>
      </c>
      <c r="C241" s="2" t="s">
        <v>13</v>
      </c>
      <c r="D241" s="2">
        <v>1040</v>
      </c>
      <c r="E241" s="2" t="s">
        <v>207</v>
      </c>
      <c r="F241" s="4">
        <v>40709</v>
      </c>
      <c r="G241" s="2" t="s">
        <v>251</v>
      </c>
      <c r="H241" s="4">
        <v>39674</v>
      </c>
    </row>
    <row r="242" spans="1:8" ht="18" x14ac:dyDescent="0.2">
      <c r="A242" s="1" t="s">
        <v>212</v>
      </c>
      <c r="B242" s="2" t="s">
        <v>6</v>
      </c>
      <c r="C242" s="2" t="s">
        <v>7</v>
      </c>
      <c r="D242" s="2">
        <v>193</v>
      </c>
      <c r="E242" s="2" t="s">
        <v>205</v>
      </c>
      <c r="F242" s="4">
        <v>42205</v>
      </c>
      <c r="G242" s="2" t="s">
        <v>251</v>
      </c>
      <c r="H242" s="4">
        <v>39465</v>
      </c>
    </row>
    <row r="243" spans="1:8" ht="18" x14ac:dyDescent="0.2">
      <c r="A243" s="1" t="s">
        <v>212</v>
      </c>
      <c r="B243" s="2" t="s">
        <v>6</v>
      </c>
      <c r="C243" s="2" t="s">
        <v>7</v>
      </c>
      <c r="D243" s="2">
        <v>193</v>
      </c>
      <c r="E243" s="2" t="s">
        <v>207</v>
      </c>
      <c r="F243" s="4">
        <v>40988</v>
      </c>
      <c r="G243" s="2" t="s">
        <v>251</v>
      </c>
      <c r="H243" s="4">
        <v>39465</v>
      </c>
    </row>
    <row r="244" spans="1:8" ht="18" x14ac:dyDescent="0.2">
      <c r="A244" s="1" t="s">
        <v>212</v>
      </c>
      <c r="B244" s="2" t="s">
        <v>6</v>
      </c>
      <c r="C244" s="2" t="s">
        <v>7</v>
      </c>
      <c r="D244" s="2">
        <v>193</v>
      </c>
      <c r="E244" s="2" t="s">
        <v>207</v>
      </c>
      <c r="F244" s="4">
        <v>40709</v>
      </c>
      <c r="G244" s="2" t="s">
        <v>251</v>
      </c>
      <c r="H244" s="4">
        <v>39465</v>
      </c>
    </row>
    <row r="245" spans="1:8" ht="18" x14ac:dyDescent="0.2">
      <c r="A245" s="1" t="s">
        <v>217</v>
      </c>
      <c r="B245" s="2" t="s">
        <v>6</v>
      </c>
      <c r="C245" s="2" t="s">
        <v>7</v>
      </c>
      <c r="D245" s="2">
        <v>170</v>
      </c>
      <c r="E245" s="2" t="s">
        <v>207</v>
      </c>
      <c r="F245" s="4">
        <v>41759</v>
      </c>
      <c r="G245" s="2" t="s">
        <v>251</v>
      </c>
      <c r="H245" s="4">
        <v>41758</v>
      </c>
    </row>
    <row r="246" spans="1:8" ht="18" x14ac:dyDescent="0.2">
      <c r="A246" s="1" t="s">
        <v>141</v>
      </c>
      <c r="B246" s="2" t="s">
        <v>6</v>
      </c>
      <c r="C246" s="2" t="s">
        <v>7</v>
      </c>
      <c r="D246" s="2">
        <v>211</v>
      </c>
      <c r="E246" s="2" t="s">
        <v>205</v>
      </c>
      <c r="F246" s="4">
        <v>42103</v>
      </c>
      <c r="G246" s="2" t="s">
        <v>251</v>
      </c>
      <c r="H246" s="4">
        <v>40603</v>
      </c>
    </row>
    <row r="247" spans="1:8" ht="18" x14ac:dyDescent="0.2">
      <c r="A247" s="1" t="s">
        <v>141</v>
      </c>
      <c r="B247" s="2" t="s">
        <v>6</v>
      </c>
      <c r="C247" s="2" t="s">
        <v>7</v>
      </c>
      <c r="D247" s="2">
        <v>211</v>
      </c>
      <c r="E247" s="2" t="s">
        <v>207</v>
      </c>
      <c r="F247" s="4">
        <v>40709</v>
      </c>
      <c r="G247" s="2" t="s">
        <v>251</v>
      </c>
      <c r="H247" s="4">
        <v>40603</v>
      </c>
    </row>
    <row r="248" spans="1:8" ht="18" x14ac:dyDescent="0.2">
      <c r="A248" s="1" t="s">
        <v>92</v>
      </c>
      <c r="B248" s="2" t="s">
        <v>6</v>
      </c>
      <c r="C248" s="2" t="s">
        <v>13</v>
      </c>
      <c r="D248" s="2">
        <v>1366</v>
      </c>
      <c r="E248" s="2" t="s">
        <v>205</v>
      </c>
      <c r="F248" s="4">
        <v>41585</v>
      </c>
      <c r="G248" s="2" t="s">
        <v>251</v>
      </c>
      <c r="H248" s="4">
        <v>41284</v>
      </c>
    </row>
    <row r="249" spans="1:8" ht="18" x14ac:dyDescent="0.2">
      <c r="A249" s="1" t="s">
        <v>92</v>
      </c>
      <c r="B249" s="2" t="s">
        <v>6</v>
      </c>
      <c r="C249" s="2" t="s">
        <v>13</v>
      </c>
      <c r="D249" s="2">
        <v>1366</v>
      </c>
      <c r="E249" s="2" t="s">
        <v>207</v>
      </c>
      <c r="F249" s="4">
        <v>41284</v>
      </c>
      <c r="G249" s="2" t="s">
        <v>251</v>
      </c>
      <c r="H249" s="4">
        <v>41284</v>
      </c>
    </row>
    <row r="250" spans="1:8" ht="18" x14ac:dyDescent="0.2">
      <c r="A250" s="1" t="s">
        <v>92</v>
      </c>
      <c r="B250" s="2" t="s">
        <v>6</v>
      </c>
      <c r="C250" s="2" t="s">
        <v>13</v>
      </c>
      <c r="D250" s="2">
        <v>1366</v>
      </c>
      <c r="E250" s="2" t="s">
        <v>207</v>
      </c>
      <c r="F250" s="4">
        <v>41284</v>
      </c>
      <c r="G250" s="2" t="s">
        <v>251</v>
      </c>
      <c r="H250" s="4">
        <v>41284</v>
      </c>
    </row>
    <row r="251" spans="1:8" ht="18" x14ac:dyDescent="0.2">
      <c r="A251" s="1" t="s">
        <v>121</v>
      </c>
      <c r="B251" s="2" t="s">
        <v>6</v>
      </c>
      <c r="C251" s="2" t="s">
        <v>7</v>
      </c>
      <c r="D251" s="2">
        <v>276</v>
      </c>
      <c r="E251" s="2" t="s">
        <v>207</v>
      </c>
      <c r="F251" s="4">
        <v>41878</v>
      </c>
      <c r="G251" s="2" t="s">
        <v>251</v>
      </c>
      <c r="H251" s="4">
        <v>41878</v>
      </c>
    </row>
    <row r="252" spans="1:8" ht="18" x14ac:dyDescent="0.2">
      <c r="A252" s="1" t="s">
        <v>254</v>
      </c>
      <c r="B252" s="2" t="s">
        <v>6</v>
      </c>
      <c r="C252" s="2" t="s">
        <v>13</v>
      </c>
      <c r="D252" s="2">
        <v>1429</v>
      </c>
      <c r="E252" s="2" t="s">
        <v>205</v>
      </c>
      <c r="F252" s="4">
        <v>42088</v>
      </c>
      <c r="G252" s="2" t="s">
        <v>251</v>
      </c>
      <c r="H252" s="4">
        <v>41598</v>
      </c>
    </row>
    <row r="253" spans="1:8" ht="18" x14ac:dyDescent="0.2">
      <c r="A253" s="1" t="s">
        <v>254</v>
      </c>
      <c r="B253" s="2" t="s">
        <v>6</v>
      </c>
      <c r="C253" s="2" t="s">
        <v>13</v>
      </c>
      <c r="D253" s="2">
        <v>1429</v>
      </c>
      <c r="E253" s="2" t="s">
        <v>207</v>
      </c>
      <c r="F253" s="4">
        <v>41598</v>
      </c>
      <c r="G253" s="2" t="s">
        <v>251</v>
      </c>
      <c r="H253" s="4">
        <v>41598</v>
      </c>
    </row>
    <row r="254" spans="1:8" ht="18" x14ac:dyDescent="0.2">
      <c r="A254" s="1" t="s">
        <v>254</v>
      </c>
      <c r="B254" s="2" t="s">
        <v>6</v>
      </c>
      <c r="C254" s="2" t="s">
        <v>13</v>
      </c>
      <c r="D254" s="2">
        <v>1429</v>
      </c>
      <c r="E254" s="2" t="s">
        <v>207</v>
      </c>
      <c r="F254" s="4">
        <v>41598</v>
      </c>
      <c r="G254" s="2" t="s">
        <v>251</v>
      </c>
      <c r="H254" s="4">
        <v>41598</v>
      </c>
    </row>
    <row r="255" spans="1:8" ht="18" x14ac:dyDescent="0.2">
      <c r="A255" s="1" t="s">
        <v>255</v>
      </c>
      <c r="B255" s="2" t="s">
        <v>6</v>
      </c>
      <c r="C255" s="2" t="s">
        <v>7</v>
      </c>
      <c r="D255" s="2">
        <v>314</v>
      </c>
      <c r="E255" s="2" t="s">
        <v>214</v>
      </c>
      <c r="F255" s="4">
        <v>41961</v>
      </c>
      <c r="G255" s="2" t="s">
        <v>251</v>
      </c>
      <c r="H255" s="4">
        <v>41934</v>
      </c>
    </row>
    <row r="256" spans="1:8" ht="18" x14ac:dyDescent="0.2">
      <c r="A256" s="1" t="s">
        <v>255</v>
      </c>
      <c r="B256" s="2" t="s">
        <v>6</v>
      </c>
      <c r="C256" s="2" t="s">
        <v>7</v>
      </c>
      <c r="D256" s="2">
        <v>314</v>
      </c>
      <c r="E256" s="2" t="s">
        <v>205</v>
      </c>
      <c r="F256" s="4">
        <v>41961</v>
      </c>
      <c r="G256" s="2" t="s">
        <v>251</v>
      </c>
      <c r="H256" s="4">
        <v>41934</v>
      </c>
    </row>
    <row r="257" spans="1:8" ht="18" x14ac:dyDescent="0.2">
      <c r="A257" s="1" t="s">
        <v>255</v>
      </c>
      <c r="B257" s="2" t="s">
        <v>6</v>
      </c>
      <c r="C257" s="2" t="s">
        <v>7</v>
      </c>
      <c r="D257" s="2">
        <v>314</v>
      </c>
      <c r="E257" s="2" t="s">
        <v>207</v>
      </c>
      <c r="F257" s="4">
        <v>41934</v>
      </c>
      <c r="G257" s="2" t="s">
        <v>251</v>
      </c>
      <c r="H257" s="4">
        <v>41934</v>
      </c>
    </row>
    <row r="258" spans="1:8" ht="18" x14ac:dyDescent="0.2">
      <c r="A258" s="1" t="s">
        <v>255</v>
      </c>
      <c r="B258" s="2" t="s">
        <v>6</v>
      </c>
      <c r="C258" s="2" t="s">
        <v>7</v>
      </c>
      <c r="D258" s="2">
        <v>314</v>
      </c>
      <c r="E258" s="2" t="s">
        <v>207</v>
      </c>
      <c r="F258" s="4">
        <v>41934</v>
      </c>
      <c r="G258" s="2" t="s">
        <v>251</v>
      </c>
      <c r="H258" s="4">
        <v>41934</v>
      </c>
    </row>
    <row r="259" spans="1:8" ht="18" x14ac:dyDescent="0.2">
      <c r="A259" s="1" t="s">
        <v>90</v>
      </c>
      <c r="B259" s="2" t="s">
        <v>6</v>
      </c>
      <c r="C259" s="2" t="s">
        <v>13</v>
      </c>
      <c r="D259" s="2">
        <v>1360</v>
      </c>
      <c r="E259" s="2" t="s">
        <v>205</v>
      </c>
      <c r="F259" s="4">
        <v>41585</v>
      </c>
      <c r="G259" s="2" t="s">
        <v>251</v>
      </c>
      <c r="H259" s="4">
        <v>41291</v>
      </c>
    </row>
    <row r="260" spans="1:8" ht="18" x14ac:dyDescent="0.2">
      <c r="A260" s="1" t="s">
        <v>90</v>
      </c>
      <c r="B260" s="2" t="s">
        <v>6</v>
      </c>
      <c r="C260" s="2" t="s">
        <v>13</v>
      </c>
      <c r="D260" s="2">
        <v>1360</v>
      </c>
      <c r="E260" s="2" t="s">
        <v>207</v>
      </c>
      <c r="F260" s="4">
        <v>41291</v>
      </c>
      <c r="G260" s="2" t="s">
        <v>251</v>
      </c>
      <c r="H260" s="4">
        <v>41291</v>
      </c>
    </row>
    <row r="261" spans="1:8" ht="18" x14ac:dyDescent="0.2">
      <c r="A261" s="1" t="s">
        <v>90</v>
      </c>
      <c r="B261" s="2" t="s">
        <v>6</v>
      </c>
      <c r="C261" s="2" t="s">
        <v>13</v>
      </c>
      <c r="D261" s="2">
        <v>1360</v>
      </c>
      <c r="E261" s="2" t="s">
        <v>207</v>
      </c>
      <c r="F261" s="4">
        <v>41291</v>
      </c>
      <c r="G261" s="2" t="s">
        <v>251</v>
      </c>
      <c r="H261" s="4">
        <v>41291</v>
      </c>
    </row>
    <row r="262" spans="1:8" ht="18" x14ac:dyDescent="0.2">
      <c r="A262" s="1" t="s">
        <v>240</v>
      </c>
      <c r="B262" s="2" t="s">
        <v>6</v>
      </c>
      <c r="C262" s="2" t="s">
        <v>7</v>
      </c>
      <c r="D262" s="2">
        <v>307</v>
      </c>
      <c r="E262" s="2" t="s">
        <v>214</v>
      </c>
      <c r="F262" s="4">
        <v>42103</v>
      </c>
      <c r="G262" s="2" t="s">
        <v>251</v>
      </c>
      <c r="H262" s="4">
        <v>41765</v>
      </c>
    </row>
    <row r="263" spans="1:8" ht="18" x14ac:dyDescent="0.2">
      <c r="A263" s="1" t="s">
        <v>240</v>
      </c>
      <c r="B263" s="2" t="s">
        <v>6</v>
      </c>
      <c r="C263" s="2" t="s">
        <v>7</v>
      </c>
      <c r="D263" s="2">
        <v>307</v>
      </c>
      <c r="E263" s="2" t="s">
        <v>205</v>
      </c>
      <c r="F263" s="4">
        <v>42103</v>
      </c>
      <c r="G263" s="2" t="s">
        <v>251</v>
      </c>
      <c r="H263" s="4">
        <v>41765</v>
      </c>
    </row>
    <row r="264" spans="1:8" ht="18" x14ac:dyDescent="0.2">
      <c r="A264" s="1" t="s">
        <v>240</v>
      </c>
      <c r="B264" s="2" t="s">
        <v>6</v>
      </c>
      <c r="C264" s="2" t="s">
        <v>7</v>
      </c>
      <c r="D264" s="2">
        <v>307</v>
      </c>
      <c r="E264" s="2" t="s">
        <v>207</v>
      </c>
      <c r="F264" s="4">
        <v>41766</v>
      </c>
      <c r="G264" s="2" t="s">
        <v>251</v>
      </c>
      <c r="H264" s="4">
        <v>41765</v>
      </c>
    </row>
    <row r="265" spans="1:8" ht="18" x14ac:dyDescent="0.2">
      <c r="A265" s="1" t="s">
        <v>136</v>
      </c>
      <c r="B265" s="2" t="s">
        <v>6</v>
      </c>
      <c r="C265" s="2" t="s">
        <v>13</v>
      </c>
      <c r="D265" s="2">
        <v>1528</v>
      </c>
      <c r="E265" s="2" t="s">
        <v>205</v>
      </c>
      <c r="F265" s="4">
        <v>42227</v>
      </c>
      <c r="G265" s="2" t="s">
        <v>251</v>
      </c>
      <c r="H265" s="4">
        <v>42149</v>
      </c>
    </row>
    <row r="266" spans="1:8" ht="18" x14ac:dyDescent="0.2">
      <c r="A266" s="1" t="s">
        <v>136</v>
      </c>
      <c r="B266" s="2" t="s">
        <v>6</v>
      </c>
      <c r="C266" s="2" t="s">
        <v>13</v>
      </c>
      <c r="D266" s="2">
        <v>1528</v>
      </c>
      <c r="E266" s="2" t="s">
        <v>207</v>
      </c>
      <c r="F266" s="4">
        <v>42150</v>
      </c>
      <c r="G266" s="2" t="s">
        <v>251</v>
      </c>
      <c r="H266" s="4">
        <v>42149</v>
      </c>
    </row>
    <row r="267" spans="1:8" ht="18" x14ac:dyDescent="0.2">
      <c r="A267" s="1" t="s">
        <v>136</v>
      </c>
      <c r="B267" s="2" t="s">
        <v>6</v>
      </c>
      <c r="C267" s="2" t="s">
        <v>13</v>
      </c>
      <c r="D267" s="2">
        <v>1528</v>
      </c>
      <c r="E267" s="2" t="s">
        <v>207</v>
      </c>
      <c r="F267" s="4">
        <v>42149</v>
      </c>
      <c r="G267" s="2" t="s">
        <v>251</v>
      </c>
      <c r="H267" s="4">
        <v>42149</v>
      </c>
    </row>
    <row r="268" spans="1:8" ht="18" x14ac:dyDescent="0.2">
      <c r="A268" s="1" t="s">
        <v>147</v>
      </c>
      <c r="B268" s="2" t="s">
        <v>6</v>
      </c>
      <c r="C268" s="2" t="s">
        <v>7</v>
      </c>
      <c r="D268" s="2">
        <v>321</v>
      </c>
      <c r="E268" s="2" t="s">
        <v>205</v>
      </c>
      <c r="F268" s="4">
        <v>41792</v>
      </c>
      <c r="G268" s="2" t="s">
        <v>251</v>
      </c>
      <c r="H268" s="4">
        <v>41688</v>
      </c>
    </row>
    <row r="269" spans="1:8" ht="18" x14ac:dyDescent="0.2">
      <c r="A269" s="1" t="s">
        <v>147</v>
      </c>
      <c r="B269" s="2" t="s">
        <v>6</v>
      </c>
      <c r="C269" s="2" t="s">
        <v>7</v>
      </c>
      <c r="D269" s="2">
        <v>321</v>
      </c>
      <c r="E269" s="2" t="s">
        <v>207</v>
      </c>
      <c r="F269" s="4">
        <v>41688</v>
      </c>
      <c r="G269" s="2" t="s">
        <v>251</v>
      </c>
      <c r="H269" s="4">
        <v>41688</v>
      </c>
    </row>
    <row r="270" spans="1:8" ht="18" x14ac:dyDescent="0.2">
      <c r="A270" s="1" t="s">
        <v>147</v>
      </c>
      <c r="B270" s="2" t="s">
        <v>6</v>
      </c>
      <c r="C270" s="2" t="s">
        <v>7</v>
      </c>
      <c r="D270" s="2">
        <v>321</v>
      </c>
      <c r="E270" s="2" t="s">
        <v>207</v>
      </c>
      <c r="F270" s="4">
        <v>41688</v>
      </c>
      <c r="G270" s="2" t="s">
        <v>251</v>
      </c>
      <c r="H270" s="4">
        <v>41688</v>
      </c>
    </row>
    <row r="271" spans="1:8" ht="18" x14ac:dyDescent="0.2">
      <c r="A271" s="1" t="s">
        <v>140</v>
      </c>
      <c r="B271" s="2" t="s">
        <v>6</v>
      </c>
      <c r="C271" s="2" t="s">
        <v>19</v>
      </c>
      <c r="D271" s="2">
        <v>834</v>
      </c>
      <c r="E271" s="2" t="s">
        <v>205</v>
      </c>
      <c r="F271" s="4">
        <v>42103</v>
      </c>
      <c r="G271" s="2" t="s">
        <v>251</v>
      </c>
      <c r="H271" s="4">
        <v>41024</v>
      </c>
    </row>
    <row r="272" spans="1:8" ht="18" x14ac:dyDescent="0.2">
      <c r="A272" s="1" t="s">
        <v>140</v>
      </c>
      <c r="B272" s="2" t="s">
        <v>6</v>
      </c>
      <c r="C272" s="2" t="s">
        <v>19</v>
      </c>
      <c r="D272" s="2">
        <v>834</v>
      </c>
      <c r="E272" s="2" t="s">
        <v>207</v>
      </c>
      <c r="F272" s="4">
        <v>41024</v>
      </c>
      <c r="G272" s="2" t="s">
        <v>251</v>
      </c>
      <c r="H272" s="4">
        <v>41024</v>
      </c>
    </row>
  </sheetData>
  <conditionalFormatting sqref="I1:J130">
    <cfRule type="duplicateValues" dxfId="0" priority="1"/>
  </conditionalFormatting>
  <hyperlinks>
    <hyperlink ref="A2" r:id="rId1" tooltip="C-FSNC" display="https://wwwapps.tc.gc.ca/Saf-Sec-Sur/2/CCARCS-RIACC/ADetHis.aspx?id=1658409&amp;m=FSNC" xr:uid="{4BA2839A-6D83-E94D-9492-5AEBC207DD16}"/>
    <hyperlink ref="A3" r:id="rId2" tooltip="C-GLAI" display="https://wwwapps.tc.gc.ca/Saf-Sec-Sur/2/CCARCS-RIACC/ADetHis.aspx?id=1655003&amp;m=GLAI" xr:uid="{7FADE058-F4EF-FC42-AB40-647A3328B2DF}"/>
    <hyperlink ref="A4" r:id="rId3" tooltip="C-FPCI" display="https://wwwapps.tc.gc.ca/Saf-Sec-Sur/2/CCARCS-RIACC/ADetHis.aspx?id=1654997&amp;m=FPCI" xr:uid="{D4929A9F-A0F9-3B49-A198-9B32CFDA4162}"/>
    <hyperlink ref="A5" r:id="rId4" tooltip="C-GLAI" display="https://wwwapps.tc.gc.ca/Saf-Sec-Sur/2/CCARCS-RIACC/ADetHis.aspx?id=1654444&amp;m=GLAI" xr:uid="{F8ADB21C-8374-4643-BC2F-8842FAF511A1}"/>
    <hyperlink ref="A6" r:id="rId5" tooltip="C-FPCI" display="https://wwwapps.tc.gc.ca/Saf-Sec-Sur/2/CCARCS-RIACC/ADetHis.aspx?id=1654442&amp;m=FPCI" xr:uid="{954653A0-C81A-3A4D-BA0E-48A2866D7253}"/>
    <hyperlink ref="A7" r:id="rId6" tooltip="C-FSNC" display="https://wwwapps.tc.gc.ca/Saf-Sec-Sur/2/CCARCS-RIACC/ADetHis.aspx?id=1654402&amp;m=FSNC" xr:uid="{0650AAD5-46E9-644D-9D06-C0FF44F2BB3B}"/>
    <hyperlink ref="A8" r:id="rId7" tooltip="C-GOGS" display="https://wwwapps.tc.gc.ca/Saf-Sec-Sur/2/CCARCS-RIACC/ADetHis.aspx?id=1642179&amp;m=GOGS" xr:uid="{18CE1C52-4A84-7A4C-A069-7FC3E02178C3}"/>
    <hyperlink ref="A9" r:id="rId8" tooltip="C-GBII" display="https://wwwapps.tc.gc.ca/Saf-Sec-Sur/2/CCARCS-RIACC/ADetHis.aspx?id=1635254&amp;m=GBII" xr:uid="{71D20A24-FF4E-134F-B1F5-B678F678082B}"/>
    <hyperlink ref="A10" r:id="rId9" tooltip="C-GBII" display="https://wwwapps.tc.gc.ca/Saf-Sec-Sur/2/CCARCS-RIACC/ADetHis.aspx?id=1633301&amp;m=GBII" xr:uid="{31F6D6DB-D456-E442-804D-E73434A85906}"/>
    <hyperlink ref="A11" r:id="rId10" tooltip="C-GOGS" display="https://wwwapps.tc.gc.ca/Saf-Sec-Sur/2/CCARCS-RIACC/ADetHis.aspx?id=1633295&amp;m=GOGS" xr:uid="{688B2B12-21B7-B240-8E74-43B8BD98AF03}"/>
    <hyperlink ref="A12" r:id="rId11" tooltip="C-FGWG" display="https://wwwapps.tc.gc.ca/Saf-Sec-Sur/2/CCARCS-RIACC/ADetHis.aspx?id=1617343&amp;m=FGWG" xr:uid="{4D56EF4C-BEB9-634F-90D5-C2395877DC31}"/>
    <hyperlink ref="A13" r:id="rId12" tooltip="C-FGWG" display="https://wwwapps.tc.gc.ca/Saf-Sec-Sur/2/CCARCS-RIACC/ADetHis.aspx?id=1605535&amp;m=FGWG" xr:uid="{D8A8AC18-8D40-534D-86EC-5AEBAD82AFDD}"/>
    <hyperlink ref="A14" r:id="rId13" tooltip="C-GJRG" display="https://wwwapps.tc.gc.ca/Saf-Sec-Sur/2/CCARCS-RIACC/ADetHis.aspx?id=1582103&amp;m=GJRG" xr:uid="{9227F17C-CFF3-964D-99C5-8044C57F54E3}"/>
    <hyperlink ref="A15" r:id="rId14" tooltip="C-GJRG" display="https://wwwapps.tc.gc.ca/Saf-Sec-Sur/2/CCARCS-RIACC/ADetHis.aspx?id=1577088&amp;m=GJRG" xr:uid="{746DD978-EA8A-2F47-99C9-C35BC535DA83}"/>
    <hyperlink ref="A16" r:id="rId15" tooltip="C-FOPE" display="https://wwwapps.tc.gc.ca/Saf-Sec-Sur/2/CCARCS-RIACC/ADetHis.aspx?id=1559515&amp;m=FOPE" xr:uid="{0B7D6817-201C-734A-89D5-D8CC795B64FE}"/>
    <hyperlink ref="A17" r:id="rId16" tooltip="C-FOPE" display="https://wwwapps.tc.gc.ca/Saf-Sec-Sur/2/CCARCS-RIACC/ADetHis.aspx?id=1551807&amp;m=FOPE" xr:uid="{C0E8EDC4-7F7E-5147-8D99-3148D4753CC7}"/>
    <hyperlink ref="A18" r:id="rId17" tooltip="C-GLAI" display="https://wwwapps.tc.gc.ca/Saf-Sec-Sur/2/CCARCS-RIACC/ADetHis.aspx?id=1543051&amp;m=GLAI" xr:uid="{709B7BEE-D889-004D-9D82-045827425E23}"/>
    <hyperlink ref="A19" r:id="rId18" tooltip="C-GKAY" display="https://wwwapps.tc.gc.ca/Saf-Sec-Sur/2/CCARCS-RIACC/ADetHis.aspx?id=1543043&amp;m=GKAY" xr:uid="{F26A897F-9625-AB4F-AA43-D84B6EF4C96B}"/>
    <hyperlink ref="A20" r:id="rId19" tooltip="C-GKAY" display="https://wwwapps.tc.gc.ca/Saf-Sec-Sur/2/CCARCS-RIACC/ADetHis.aspx?id=1541197&amp;m=GKAY" xr:uid="{FF5FDED2-3D1C-5140-99D5-666E835F59E1}"/>
    <hyperlink ref="A21" r:id="rId20" tooltip="C-FANJ" display="https://wwwapps.tc.gc.ca/Saf-Sec-Sur/2/CCARCS-RIACC/ADetHis.aspx?id=1512645&amp;m=FANJ" xr:uid="{8540DE4D-191A-3140-A308-E035B49DFEBB}"/>
    <hyperlink ref="A22" r:id="rId21" tooltip="C-FANJ" display="https://wwwapps.tc.gc.ca/Saf-Sec-Sur/2/CCARCS-RIACC/ADetHis.aspx?id=1502605&amp;m=FANJ" xr:uid="{B8254453-0422-5147-827E-0A67A8634EE0}"/>
    <hyperlink ref="A23" r:id="rId22" tooltip="C-GNGY" display="https://wwwapps.tc.gc.ca/Saf-Sec-Sur/2/CCARCS-RIACC/ADetHis.aspx?id=1502601&amp;m=GNGY" xr:uid="{A36F6D23-C07D-294F-BD9B-429B18C42BAE}"/>
    <hyperlink ref="A24" r:id="rId23" tooltip="C-GPWL" display="https://wwwapps.tc.gc.ca/Saf-Sec-Sur/2/CCARCS-RIACC/ADetHis.aspx?id=1500866&amp;m=GPWL" xr:uid="{5FEE5994-DCD0-2E4D-8569-6314A4FB6504}"/>
    <hyperlink ref="A25" r:id="rId24" tooltip="C-GPWL" display="https://wwwapps.tc.gc.ca/Saf-Sec-Sur/2/CCARCS-RIACC/ADetHis.aspx?id=1493065&amp;m=GPWL" xr:uid="{D941297B-873A-E84C-AB3A-32E7A647BB7F}"/>
    <hyperlink ref="A26" r:id="rId25" tooltip="C-FMDF" display="https://wwwapps.tc.gc.ca/Saf-Sec-Sur/2/CCARCS-RIACC/ADetHis.aspx?id=1493059&amp;m=FMDF" xr:uid="{0C7667C8-2BCB-7C44-9DCF-D48B44DE1D7D}"/>
    <hyperlink ref="A27" r:id="rId26" tooltip="C-FMDF" display="https://wwwapps.tc.gc.ca/Saf-Sec-Sur/2/CCARCS-RIACC/ADetHis.aspx?id=1492563&amp;m=FMDF" xr:uid="{A30B38E7-53B1-8646-ADCA-04D21C741634}"/>
    <hyperlink ref="A28" r:id="rId27" tooltip="C-GNGY" display="https://wwwapps.tc.gc.ca/Saf-Sec-Sur/2/CCARCS-RIACC/ADetHis.aspx?id=1491391&amp;m=GNGY" xr:uid="{70A3FEA3-E341-8A40-8D4D-4177522810BE}"/>
    <hyperlink ref="A29" r:id="rId28" tooltip="C-GXCR" display="https://wwwapps.tc.gc.ca/Saf-Sec-Sur/2/CCARCS-RIACC/ADetHis.aspx?id=1473536&amp;m=GXCR" xr:uid="{1C06A588-4924-E745-ABF2-0C4F242ED8CD}"/>
    <hyperlink ref="A30" r:id="rId29" tooltip="C-GXCR" display="https://wwwapps.tc.gc.ca/Saf-Sec-Sur/2/CCARCS-RIACC/ADetHis.aspx?id=1468808&amp;m=GXCR" xr:uid="{0D59B3EC-1B21-1F4B-A032-F6CBF0BDED96}"/>
    <hyperlink ref="A31" r:id="rId30" tooltip="C-GDGD" display="https://wwwapps.tc.gc.ca/Saf-Sec-Sur/2/CCARCS-RIACC/ADetHis.aspx?id=1468802&amp;m=GDGD" xr:uid="{8FD100C1-8AE4-0A41-976A-213E4A64966B}"/>
    <hyperlink ref="A32" r:id="rId31" tooltip="C-GDGD" display="https://wwwapps.tc.gc.ca/Saf-Sec-Sur/2/CCARCS-RIACC/ADetHis.aspx?id=1461182&amp;m=GDGD" xr:uid="{99511E76-C676-E645-A4D0-252BAD7B842E}"/>
    <hyperlink ref="A33" r:id="rId32" tooltip="C-GNGI" display="https://wwwapps.tc.gc.ca/Saf-Sec-Sur/2/CCARCS-RIACC/ADetHis.aspx?id=1443431&amp;m=GNGI" xr:uid="{8A44A6AB-7F5A-FA48-84C3-96312DFCA752}"/>
    <hyperlink ref="A34" r:id="rId33" tooltip="C-GXTB" display="https://wwwapps.tc.gc.ca/Saf-Sec-Sur/2/CCARCS-RIACC/ADetHis.aspx?id=1425103&amp;m=GXTB" xr:uid="{A1D6F434-5273-474F-B1EB-00D91BE7E846}"/>
    <hyperlink ref="A35" r:id="rId34" tooltip="C-GNGI" display="https://wwwapps.tc.gc.ca/Saf-Sec-Sur/2/CCARCS-RIACC/ADetHis.aspx?id=1416674&amp;m=GNGI" xr:uid="{D0ACF2B7-413D-874F-A04F-DE3B224BC155}"/>
    <hyperlink ref="A36" r:id="rId35" tooltip="C-GNGI" display="https://wwwapps.tc.gc.ca/Saf-Sec-Sur/2/CCARCS-RIACC/ADetHis.aspx?id=1416672&amp;m=GNGI" xr:uid="{A3D18009-801D-3F4C-AFDB-24F49B57D597}"/>
    <hyperlink ref="A37" r:id="rId36" tooltip="C-GNGI" display="https://wwwapps.tc.gc.ca/Saf-Sec-Sur/2/CCARCS-RIACC/ADetHis.aspx?id=1416670&amp;m=GNGI" xr:uid="{77A03F18-A5B5-FB4B-A8A5-B92B684BC4C9}"/>
    <hyperlink ref="A38" r:id="rId37" tooltip="C-FKRB" display="https://wwwapps.tc.gc.ca/Saf-Sec-Sur/2/CCARCS-RIACC/ADetHis.aspx?id=1412473&amp;m=FKRB" xr:uid="{E9F8F379-DE6D-2345-A5B2-EF56395AB507}"/>
    <hyperlink ref="A39" r:id="rId38" tooltip="C-FKRB" display="https://wwwapps.tc.gc.ca/Saf-Sec-Sur/2/CCARCS-RIACC/ADetHis.aspx?id=1412194&amp;m=FKRB" xr:uid="{266375B5-3487-E342-A0BE-38A980C95DD4}"/>
    <hyperlink ref="A40" r:id="rId39" tooltip="C-FING" display="https://wwwapps.tc.gc.ca/Saf-Sec-Sur/2/CCARCS-RIACC/ADetHis.aspx?id=1412010&amp;m=FING" xr:uid="{F3A64215-7F89-4B42-91E0-E8943CEEAF6C}"/>
    <hyperlink ref="A41" r:id="rId40" tooltip="C-FING" display="https://wwwapps.tc.gc.ca/Saf-Sec-Sur/2/CCARCS-RIACC/ADetHis.aspx?id=1395297&amp;m=FING" xr:uid="{77CD2311-94B8-DD40-9813-21C81D7F7600}"/>
    <hyperlink ref="A42" r:id="rId41" tooltip="C-FING" display="https://wwwapps.tc.gc.ca/Saf-Sec-Sur/2/CCARCS-RIACC/ADetHis.aspx?id=1395291&amp;m=FING" xr:uid="{8832E4C2-8A6B-E641-A969-1B7F79D941EE}"/>
    <hyperlink ref="A43" r:id="rId42" tooltip="C-FWAL" display="https://wwwapps.tc.gc.ca/Saf-Sec-Sur/2/CCARCS-RIACC/ADetHis.aspx?id=1391987&amp;m=FWAL" xr:uid="{9799323D-ABD5-7E48-9EC3-D723AA7E96B8}"/>
    <hyperlink ref="A44" r:id="rId43" tooltip="C-GXTB" display="https://wwwapps.tc.gc.ca/Saf-Sec-Sur/2/CCARCS-RIACC/ADetHis.aspx?id=1389839&amp;m=GXTB" xr:uid="{48B729BA-D62A-9944-9705-4A6D871F83A6}"/>
    <hyperlink ref="A45" r:id="rId44" tooltip="C-GXTB" display="https://wwwapps.tc.gc.ca/Saf-Sec-Sur/2/CCARCS-RIACC/ADetHis.aspx?id=1389699&amp;m=GXTB" xr:uid="{09E28A06-748D-A44C-9D33-6CB0D0D92B39}"/>
    <hyperlink ref="A46" r:id="rId45" tooltip="C-GXTB" display="https://wwwapps.tc.gc.ca/Saf-Sec-Sur/2/CCARCS-RIACC/ADetHis.aspx?id=1389697&amp;m=GXTB" xr:uid="{2127D4E7-B19C-CA43-B8FE-1706A80A43B0}"/>
    <hyperlink ref="A47" r:id="rId46" tooltip="C-GXTB" display="https://wwwapps.tc.gc.ca/Saf-Sec-Sur/2/CCARCS-RIACC/ADetHis.aspx?id=1389695&amp;m=GXTB" xr:uid="{06C7C539-E890-7E40-933D-6605A0027AE0}"/>
    <hyperlink ref="A48" r:id="rId47" tooltip="C-FYRH" display="https://wwwapps.tc.gc.ca/Saf-Sec-Sur/2/CCARCS-RIACC/ADetHis.aspx?id=1385897&amp;m=FYRH" xr:uid="{588D793B-8EEE-1342-972A-DB2FE55EBA86}"/>
    <hyperlink ref="A49" r:id="rId48" tooltip="C-FPCL" display="https://wwwapps.tc.gc.ca/Saf-Sec-Sur/2/CCARCS-RIACC/ADetHis.aspx?id=1374990&amp;m=FPCL" xr:uid="{E2F559C5-6B1D-564D-A05A-8D346FA06135}"/>
    <hyperlink ref="A50" r:id="rId49" tooltip="C-FWAL" display="https://wwwapps.tc.gc.ca/Saf-Sec-Sur/2/CCARCS-RIACC/ADetHis.aspx?id=1374890&amp;m=FWAL" xr:uid="{305D5A3B-21EC-7245-90E7-EA76511201D7}"/>
    <hyperlink ref="A51" r:id="rId50" tooltip="C-FWAL" display="https://wwwapps.tc.gc.ca/Saf-Sec-Sur/2/CCARCS-RIACC/ADetHis.aspx?id=1374888&amp;m=FWAL" xr:uid="{79822004-AB48-4D4E-A907-E769BC21AC95}"/>
    <hyperlink ref="A52" r:id="rId51" tooltip="C-FYRH" display="https://wwwapps.tc.gc.ca/Saf-Sec-Sur/2/CCARCS-RIACC/ADetHis.aspx?id=1368780&amp;m=FYRH" xr:uid="{7BBC62A1-42E2-514F-B4B4-001A40749FA7}"/>
    <hyperlink ref="A53" r:id="rId52" tooltip="C-FYRH" display="https://wwwapps.tc.gc.ca/Saf-Sec-Sur/2/CCARCS-RIACC/ADetHis.aspx?id=1368778&amp;m=FYRH" xr:uid="{07CCB077-F1A4-5345-85AB-7C28C7957E60}"/>
    <hyperlink ref="A54" r:id="rId53" tooltip="C-GSNG" display="https://wwwapps.tc.gc.ca/Saf-Sec-Sur/2/CCARCS-RIACC/ADetHis.aspx?id=1355847&amp;m=GSNG" xr:uid="{B8F7EC92-F938-2B47-8E98-21F123D6B142}"/>
    <hyperlink ref="A55" r:id="rId54" tooltip="C-GBXW" display="https://wwwapps.tc.gc.ca/Saf-Sec-Sur/2/CCARCS-RIACC/ADetHis.aspx?id=1341608&amp;m=GBXW" xr:uid="{6A22CD60-18C6-1346-975E-158CA6F426EB}"/>
    <hyperlink ref="A56" r:id="rId55" tooltip="C-GBXW" display="https://wwwapps.tc.gc.ca/Saf-Sec-Sur/2/CCARCS-RIACC/ADetHis.aspx?id=1341604&amp;m=GBXW" xr:uid="{2AAD3416-5247-FF41-81C3-7AC61981E5F6}"/>
    <hyperlink ref="A57" r:id="rId56" tooltip="C-FPCI" display="https://wwwapps.tc.gc.ca/Saf-Sec-Sur/2/CCARCS-RIACC/ADetHis.aspx?id=1338261&amp;m=FPCI" xr:uid="{00D4091E-91AD-4846-A16E-F78EBB099723}"/>
    <hyperlink ref="A58" r:id="rId57" tooltip="C-GSNG" display="https://wwwapps.tc.gc.ca/Saf-Sec-Sur/2/CCARCS-RIACC/ADetHis.aspx?id=1338147&amp;m=GSNG" xr:uid="{3342FC2A-73CA-E645-9942-64989FB024AD}"/>
    <hyperlink ref="A59" r:id="rId58" tooltip="C-GSNG" display="https://wwwapps.tc.gc.ca/Saf-Sec-Sur/2/CCARCS-RIACC/ADetHis.aspx?id=1338145&amp;m=GSNG" xr:uid="{B99DEBF3-DBAE-FB4C-A444-4DEB51E6E657}"/>
    <hyperlink ref="A60" r:id="rId59" tooltip="C-GPNG" display="https://wwwapps.tc.gc.ca/Saf-Sec-Sur/2/CCARCS-RIACC/ADetHis.aspx?id=1326394&amp;m=GPNG" xr:uid="{0273B0CB-B8BB-674F-9FDD-2D71026260B8}"/>
    <hyperlink ref="A61" r:id="rId60" tooltip="C-GPNG" display="https://wwwapps.tc.gc.ca/Saf-Sec-Sur/2/CCARCS-RIACC/ADetHis.aspx?id=1315165&amp;m=GPNG" xr:uid="{AEEA42B6-6AAA-0442-9FAB-DA9CA0FA67D8}"/>
    <hyperlink ref="A62" r:id="rId61" tooltip="C-GVKC" display="https://wwwapps.tc.gc.ca/Saf-Sec-Sur/2/CCARCS-RIACC/ADetHis.aspx?id=962937&amp;m=GVKC" xr:uid="{3254F239-BABE-8048-AB15-81990A444EE4}"/>
    <hyperlink ref="A63" r:id="rId62" tooltip="C-GVKC" display="https://wwwapps.tc.gc.ca/Saf-Sec-Sur/2/CCARCS-RIACC/ADetHis.aspx?id=927575&amp;m=GVKC" xr:uid="{9AB05182-D9E0-8042-93AE-648F3CCFF00B}"/>
    <hyperlink ref="A64" r:id="rId63" tooltip="C-GPCO" display="https://wwwapps.tc.gc.ca/Saf-Sec-Sur/2/CCARCS-RIACC/ADetHis.aspx?id=807323&amp;m=GPCO" xr:uid="{21854300-B1C5-0147-B77C-3409DF13385E}"/>
    <hyperlink ref="A65" r:id="rId64" tooltip="C-GPCO" display="https://wwwapps.tc.gc.ca/Saf-Sec-Sur/2/CCARCS-RIACC/ADetHis.aspx?id=781373&amp;m=GPCO" xr:uid="{584368D1-5123-F24B-90B5-F4E57A789512}"/>
    <hyperlink ref="A66" r:id="rId65" tooltip="C-GPCO" display="https://wwwapps.tc.gc.ca/Saf-Sec-Sur/2/CCARCS-RIACC/ADetHis.aspx?id=780995&amp;m=GPCO" xr:uid="{42E2599E-707F-D84D-B89C-DC7D835F92A8}"/>
    <hyperlink ref="A67" r:id="rId66" tooltip="C-GPAI" display="https://wwwapps.tc.gc.ca/Saf-Sec-Sur/2/CCARCS-RIACC/ADetHis.aspx?id=870337&amp;m=GPAI" xr:uid="{78D4D5E6-A335-4342-B010-2856354DB7D0}"/>
    <hyperlink ref="A68" r:id="rId67" tooltip="C-GPAI" display="https://wwwapps.tc.gc.ca/Saf-Sec-Sur/2/CCARCS-RIACC/ADetHis.aspx?id=811819&amp;m=GPAI" xr:uid="{9C11B37B-DA36-DB48-87B0-A40A3E03DDB6}"/>
    <hyperlink ref="A69" r:id="rId68" tooltip="C-GPAI" display="https://wwwapps.tc.gc.ca/Saf-Sec-Sur/2/CCARCS-RIACC/ADetHis.aspx?id=811817&amp;m=GPAI" xr:uid="{69EE0119-0EEC-4644-918C-80628B9EB5A9}"/>
    <hyperlink ref="A70" r:id="rId69" tooltip="C-GODE" display="https://wwwapps.tc.gc.ca/Saf-Sec-Sur/2/CCARCS-RIACC/ADetHis.aspx?id=1043344&amp;m=GODE" xr:uid="{FF2474F4-C06B-B649-AEE9-739F3D938FCC}"/>
    <hyperlink ref="A71" r:id="rId70" tooltip="C-GODE" display="https://wwwapps.tc.gc.ca/Saf-Sec-Sur/2/CCARCS-RIACC/ADetHis.aspx?id=848589&amp;m=GODE" xr:uid="{0862351D-5503-1646-BE5F-CF1238FAC07A}"/>
    <hyperlink ref="A72" r:id="rId71" tooltip="C-GODE" display="https://wwwapps.tc.gc.ca/Saf-Sec-Sur/2/CCARCS-RIACC/ADetHis.aspx?id=848585&amp;m=GODE" xr:uid="{FF526F90-F725-CE4C-A518-977E30AFDC60}"/>
    <hyperlink ref="A73" r:id="rId72" tooltip="C-GMPW" display="https://wwwapps.tc.gc.ca/Saf-Sec-Sur/2/CCARCS-RIACC/ADetHis.aspx?id=1093776&amp;m=GMPW" xr:uid="{61C9616E-5D85-CA45-B0F8-C01A0DA0D9E2}"/>
    <hyperlink ref="A74" r:id="rId73" tooltip="C-GMPW" display="https://wwwapps.tc.gc.ca/Saf-Sec-Sur/2/CCARCS-RIACC/ADetHis.aspx?id=1093414&amp;m=GMPW" xr:uid="{717588C2-1CB1-E242-81E2-8140AF82EABE}"/>
    <hyperlink ref="A75" r:id="rId74" tooltip="C-GMLF" display="https://wwwapps.tc.gc.ca/Saf-Sec-Sur/2/CCARCS-RIACC/ADetHis.aspx?id=924773&amp;m=GMLF" xr:uid="{F03C91CD-4757-3245-B15C-A8024B56A43E}"/>
    <hyperlink ref="A76" r:id="rId75" tooltip="C-GMLF" display="https://wwwapps.tc.gc.ca/Saf-Sec-Sur/2/CCARCS-RIACC/ADetHis.aspx?id=924771&amp;m=GMLF" xr:uid="{54616823-6027-FB40-B512-6F7E1F3507A7}"/>
    <hyperlink ref="A77" r:id="rId76" tooltip="C-GMAE" display="https://wwwapps.tc.gc.ca/Saf-Sec-Sur/2/CCARCS-RIACC/ADetHis.aspx?id=772345&amp;m=GMAE" xr:uid="{8AC7332C-F4BA-FC46-BFDC-568D2B7FB5C1}"/>
    <hyperlink ref="A78" r:id="rId77" tooltip="C-GMAE" display="https://wwwapps.tc.gc.ca/Saf-Sec-Sur/2/CCARCS-RIACC/ADetHis.aspx?id=772341&amp;m=GMAE" xr:uid="{350688AF-553B-3D47-855A-F88961CF94E2}"/>
    <hyperlink ref="A79" r:id="rId78" tooltip="C-GMAE" display="https://wwwapps.tc.gc.ca/Saf-Sec-Sur/2/CCARCS-RIACC/ADetHis.aspx?id=734227&amp;m=GMAE" xr:uid="{9D53B492-B1D9-5546-BEB5-9BC837947590}"/>
    <hyperlink ref="A80" r:id="rId79" tooltip="C-GMAE" display="https://wwwapps.tc.gc.ca/Saf-Sec-Sur/2/CCARCS-RIACC/ADetHis.aspx?id=85212&amp;m=GMAE" xr:uid="{7F7C3A35-087D-6842-A601-F5E5A7892436}"/>
    <hyperlink ref="A81" r:id="rId80" tooltip="C-GKVT" display="https://wwwapps.tc.gc.ca/Saf-Sec-Sur/2/CCARCS-RIACC/ADetHis.aspx?id=1057508&amp;m=GKVT" xr:uid="{4EDF0A4A-0750-B248-97B1-7D15B42A2291}"/>
    <hyperlink ref="A82" r:id="rId81" tooltip="C-GKVT" display="https://wwwapps.tc.gc.ca/Saf-Sec-Sur/2/CCARCS-RIACC/ADetHis.aspx?id=1056865&amp;m=GKVT" xr:uid="{181DADB1-464A-BA49-991C-4F7D96156F08}"/>
    <hyperlink ref="A83" r:id="rId82" tooltip="C-GKRY" display="https://wwwapps.tc.gc.ca/Saf-Sec-Sur/2/CCARCS-RIACC/ADetHis.aspx?id=997815&amp;m=GKRY" xr:uid="{C1EE758B-24DF-D14A-ABCC-4DD2907D0EAA}"/>
    <hyperlink ref="A84" r:id="rId83" tooltip="C-GKPL" display="https://wwwapps.tc.gc.ca/Saf-Sec-Sur/2/CCARCS-RIACC/ADetHis.aspx?id=92799&amp;m=GKPL" xr:uid="{A6CDFC36-EAF3-AC4E-BF03-7802AA30E893}"/>
    <hyperlink ref="A85" r:id="rId84" tooltip="C-GKNR" display="https://wwwapps.tc.gc.ca/Saf-Sec-Sur/2/CCARCS-RIACC/ADetHis.aspx?id=949289&amp;m=GKNR" xr:uid="{BF88831C-C246-C94D-9092-9961EC34A9D3}"/>
    <hyperlink ref="A86" r:id="rId85" tooltip="C-GKNR" display="https://wwwapps.tc.gc.ca/Saf-Sec-Sur/2/CCARCS-RIACC/ADetHis.aspx?id=949285&amp;m=GKNR" xr:uid="{60AA6097-0054-D84F-911D-F031312A7108}"/>
    <hyperlink ref="A87" r:id="rId86" tooltip="C-GKNR" display="https://wwwapps.tc.gc.ca/Saf-Sec-Sur/2/CCARCS-RIACC/ADetHis.aspx?id=931439&amp;m=GKNR" xr:uid="{C5B06D57-6565-094C-BB3F-B33FE978CD2B}"/>
    <hyperlink ref="A88" r:id="rId87" tooltip="C-GKNR" display="https://wwwapps.tc.gc.ca/Saf-Sec-Sur/2/CCARCS-RIACC/ADetHis.aspx?id=91502&amp;m=GKNR" xr:uid="{3B60A6A7-F117-7C45-BD09-4C36EE41FF66}"/>
    <hyperlink ref="A89" r:id="rId88" tooltip="C-GKAY" display="https://wwwapps.tc.gc.ca/Saf-Sec-Sur/2/CCARCS-RIACC/ADetHis.aspx?id=1077153&amp;m=GKAY" xr:uid="{47162950-5A9F-0843-A2E9-8FD22F34617B}"/>
    <hyperlink ref="A90" r:id="rId89" tooltip="C-GKAY" display="https://wwwapps.tc.gc.ca/Saf-Sec-Sur/2/CCARCS-RIACC/ADetHis.aspx?id=706166&amp;m=GKAY" xr:uid="{0BC221DB-999F-FF4D-890F-E790EE027BB7}"/>
    <hyperlink ref="A91" r:id="rId90" tooltip="C-GKAY" display="https://wwwapps.tc.gc.ca/Saf-Sec-Sur/2/CCARCS-RIACC/ADetHis.aspx?id=675443&amp;m=GKAY" xr:uid="{378E87B1-B4D4-0349-9684-A3C86BAC3BF7}"/>
    <hyperlink ref="A92" r:id="rId91" tooltip="C-GKAY" display="https://wwwapps.tc.gc.ca/Saf-Sec-Sur/2/CCARCS-RIACC/ADetHis.aspx?id=675417&amp;m=GKAY" xr:uid="{A868FE50-8B72-2F4A-88D2-6C79A69609A3}"/>
    <hyperlink ref="A93" r:id="rId92" tooltip="C-GKAY" display="https://wwwapps.tc.gc.ca/Saf-Sec-Sur/2/CCARCS-RIACC/ADetHis.aspx?id=88569&amp;m=GKAY" xr:uid="{2D69080B-906D-1146-9773-3788BB3279B8}"/>
    <hyperlink ref="A94" r:id="rId93" tooltip="C-GFLA" display="https://wwwapps.tc.gc.ca/Saf-Sec-Sur/2/CCARCS-RIACC/ADetHis.aspx?id=1079686&amp;m=GFLA" xr:uid="{3D9CC378-BF6B-3E47-9694-FDBCBBF9BBDB}"/>
    <hyperlink ref="A95" r:id="rId94" tooltip="C-GFLA" display="https://wwwapps.tc.gc.ca/Saf-Sec-Sur/2/CCARCS-RIACC/ADetHis.aspx?id=1077149&amp;m=GFLA" xr:uid="{1ADEAFCC-71DC-1C42-9673-9FEC5AFD2896}"/>
    <hyperlink ref="A96" r:id="rId95" tooltip="C-GFLA" display="https://wwwapps.tc.gc.ca/Saf-Sec-Sur/2/CCARCS-RIACC/ADetHis.aspx?id=1077078&amp;m=GFLA" xr:uid="{77A373F6-7F1C-1C4F-9F4B-C340845C6061}"/>
    <hyperlink ref="A97" r:id="rId96" tooltip="C-GFIL" display="https://wwwapps.tc.gc.ca/Saf-Sec-Sur/2/CCARCS-RIACC/ADetHis.aspx?id=861497&amp;m=GFIL" xr:uid="{1EEAC92B-01C7-6F47-8B50-0FD556C6257E}"/>
    <hyperlink ref="A98" r:id="rId97" tooltip="C-GFIL" display="https://wwwapps.tc.gc.ca/Saf-Sec-Sur/2/CCARCS-RIACC/ADetHis.aspx?id=841985&amp;m=GFIL" xr:uid="{327F5E48-B9BA-AB40-AA1B-9A67C6AC031B}"/>
    <hyperlink ref="A99" r:id="rId98" tooltip="C-GFIL" display="https://wwwapps.tc.gc.ca/Saf-Sec-Sur/2/CCARCS-RIACC/ADetHis.aspx?id=88529&amp;m=GFIL" xr:uid="{399FFFA6-110D-6041-AEAB-5FC520FC0399}"/>
    <hyperlink ref="A100" r:id="rId99" tooltip="C-GFIL" display="https://wwwapps.tc.gc.ca/Saf-Sec-Sur/2/CCARCS-RIACC/ADetHis.aspx?id=84487&amp;m=GFIL" xr:uid="{FFCAAC51-6C93-0D4F-ACB3-089531495D85}"/>
    <hyperlink ref="A101" r:id="rId100" tooltip="C-GECT" display="https://wwwapps.tc.gc.ca/Saf-Sec-Sur/2/CCARCS-RIACC/ADetHis.aspx?id=971279&amp;m=GECT" xr:uid="{4AD43E55-D11A-2C47-873F-6F2B5A4AE836}"/>
    <hyperlink ref="A102" r:id="rId101" tooltip="C-GECT" display="https://wwwapps.tc.gc.ca/Saf-Sec-Sur/2/CCARCS-RIACC/ADetHis.aspx?id=971257&amp;m=GECT" xr:uid="{05A4DBD5-3EB4-4A4C-8FD0-07F3304831F5}"/>
    <hyperlink ref="A103" r:id="rId102" tooltip="C-GECT" display="https://wwwapps.tc.gc.ca/Saf-Sec-Sur/2/CCARCS-RIACC/ADetHis.aspx?id=971255&amp;m=GECT" xr:uid="{30A93487-8075-3043-BB47-549D57445128}"/>
    <hyperlink ref="A104" r:id="rId103" tooltip="C-GDGD" display="https://wwwapps.tc.gc.ca/Saf-Sec-Sur/2/CCARCS-RIACC/ADetHis.aspx?id=938109&amp;m=GDGD" xr:uid="{F9A45C8E-A53D-E340-A98A-443A98F437E8}"/>
    <hyperlink ref="A105" r:id="rId104" tooltip="C-GDGD" display="https://wwwapps.tc.gc.ca/Saf-Sec-Sur/2/CCARCS-RIACC/ADetHis.aspx?id=727613&amp;m=GDGD" xr:uid="{1030FAAD-3643-444E-B545-2D537C11C2E9}"/>
    <hyperlink ref="A106" r:id="rId105" tooltip="C-GDGD" display="https://wwwapps.tc.gc.ca/Saf-Sec-Sur/2/CCARCS-RIACC/ADetHis.aspx?id=701708&amp;m=GDGD" xr:uid="{AE8AA96C-6606-834A-B9BB-B46530C6BD69}"/>
    <hyperlink ref="A107" r:id="rId106" tooltip="C-GDGD" display="https://wwwapps.tc.gc.ca/Saf-Sec-Sur/2/CCARCS-RIACC/ADetHis.aspx?id=626987&amp;m=GDGD" xr:uid="{FEE1735D-0BF5-584B-B78E-955E6145D84C}"/>
    <hyperlink ref="A108" r:id="rId107" tooltip="C-GBXW" display="https://wwwapps.tc.gc.ca/Saf-Sec-Sur/2/CCARCS-RIACC/ADetHis.aspx?id=91063&amp;m=GBXW" xr:uid="{23919020-D4FE-7B48-AB75-D883998BE38F}"/>
    <hyperlink ref="A109" r:id="rId108" tooltip="C-GBXW" display="https://wwwapps.tc.gc.ca/Saf-Sec-Sur/2/CCARCS-RIACC/ADetHis.aspx?id=85383&amp;m=GBXW" xr:uid="{D95F95FA-5289-E044-8CFB-E4C31A107FC0}"/>
    <hyperlink ref="A110" r:id="rId109" tooltip="C-GBXW" display="https://wwwapps.tc.gc.ca/Saf-Sec-Sur/2/CCARCS-RIACC/ADetHis.aspx?id=78818&amp;m=GBXW" xr:uid="{4A03AB6B-AA54-C84E-96AA-447EAEFF7557}"/>
    <hyperlink ref="A111" r:id="rId110" tooltip="C-GBXW" display="https://wwwapps.tc.gc.ca/Saf-Sec-Sur/2/CCARCS-RIACC/ADetHis.aspx?id=77756&amp;m=GBXW" xr:uid="{9F32E03F-04B3-4A4F-8CD3-5C94F531FD7F}"/>
    <hyperlink ref="A112" r:id="rId111" tooltip="C-GBTL" display="https://wwwapps.tc.gc.ca/Saf-Sec-Sur/2/CCARCS-RIACC/ADetHis.aspx?id=718263&amp;m=GBTL" xr:uid="{DA60BFAB-B5CF-D84D-8144-EE5E1453C970}"/>
    <hyperlink ref="A113" r:id="rId112" tooltip="C-GBTL" display="https://wwwapps.tc.gc.ca/Saf-Sec-Sur/2/CCARCS-RIACC/ADetHis.aspx?id=625413&amp;m=GBTL" xr:uid="{FB90D422-D6F1-554D-BCFB-18B23B36A4DB}"/>
    <hyperlink ref="A114" r:id="rId113" tooltip="C-FYZS" display="https://wwwapps.tc.gc.ca/Saf-Sec-Sur/2/CCARCS-RIACC/ADetHis.aspx?id=851545&amp;m=FYZS" xr:uid="{A5FCC833-63B2-A846-BB49-99EAFC7B1661}"/>
    <hyperlink ref="A115" r:id="rId114" tooltip="C-FYZS" display="https://wwwapps.tc.gc.ca/Saf-Sec-Sur/2/CCARCS-RIACC/ADetHis.aspx?id=839409&amp;m=FYZS" xr:uid="{2365C6CA-C920-504A-A125-F1E8034C470A}"/>
    <hyperlink ref="A116" r:id="rId115" tooltip="C-FYUT" display="https://wwwapps.tc.gc.ca/Saf-Sec-Sur/2/CCARCS-RIACC/ADetHis.aspx?id=84371&amp;m=FYUT" xr:uid="{A5747B4F-6E4D-304C-B54A-C800D181D01F}"/>
    <hyperlink ref="A117" r:id="rId116" tooltip="C-FXAB" display="https://wwwapps.tc.gc.ca/Saf-Sec-Sur/2/CCARCS-RIACC/ADetHis.aspx?id=1092928&amp;m=FXAB" xr:uid="{8FC5203E-90F1-9F42-B100-762FFEFD5BD9}"/>
    <hyperlink ref="A118" r:id="rId117" tooltip="C-FXAB" display="https://wwwapps.tc.gc.ca/Saf-Sec-Sur/2/CCARCS-RIACC/ADetHis.aspx?id=1080637&amp;m=FXAB" xr:uid="{E74CB43B-DF5B-9140-8AD2-B1D719FF4F31}"/>
    <hyperlink ref="A119" r:id="rId118" tooltip="C-FVPK" display="https://wwwapps.tc.gc.ca/Saf-Sec-Sur/2/CCARCS-RIACC/ADetHis.aspx?id=1089928&amp;m=FVPK" xr:uid="{DC0A792D-4697-954A-B469-B93302328E0C}"/>
    <hyperlink ref="A120" r:id="rId119" tooltip="C-FVPK" display="https://wwwapps.tc.gc.ca/Saf-Sec-Sur/2/CCARCS-RIACC/ADetHis.aspx?id=90065&amp;m=FVPK" xr:uid="{C7681E63-EA17-4741-A06E-4CA0691456FF}"/>
    <hyperlink ref="A121" r:id="rId120" tooltip="C-FVPC" display="https://wwwapps.tc.gc.ca/Saf-Sec-Sur/2/CCARCS-RIACC/ADetHis.aspx?id=890941&amp;m=FVPC" xr:uid="{DEEC0FA4-61C2-4E4B-9649-0B3E596F909B}"/>
    <hyperlink ref="A122" r:id="rId121" tooltip="C-FVPC" display="https://wwwapps.tc.gc.ca/Saf-Sec-Sur/2/CCARCS-RIACC/ADetHis.aspx?id=841423&amp;m=FVPC" xr:uid="{79175C99-9DBD-AF42-BDB8-AF974487DD12}"/>
    <hyperlink ref="A123" r:id="rId122" tooltip="C-FVPC" display="https://wwwapps.tc.gc.ca/Saf-Sec-Sur/2/CCARCS-RIACC/ADetHis.aspx?id=776035&amp;m=FVPC" xr:uid="{E2736EE5-BAAF-5E44-BCC9-2E4365F0C7AB}"/>
    <hyperlink ref="A124" r:id="rId123" tooltip="C-FVPC" display="https://wwwapps.tc.gc.ca/Saf-Sec-Sur/2/CCARCS-RIACC/ADetHis.aspx?id=732927&amp;m=FVPC" xr:uid="{EAD3E969-69C4-7245-A00A-0EDED003FA68}"/>
    <hyperlink ref="A125" r:id="rId124" tooltip="C-FVPC" display="https://wwwapps.tc.gc.ca/Saf-Sec-Sur/2/CCARCS-RIACC/ADetHis.aspx?id=727811&amp;m=FVPC" xr:uid="{989F2F31-84C6-404A-9A09-10D3E124176E}"/>
    <hyperlink ref="A126" r:id="rId125" tooltip="C-FVPC" display="https://wwwapps.tc.gc.ca/Saf-Sec-Sur/2/CCARCS-RIACC/ADetHis.aspx?id=727809&amp;m=FVPC" xr:uid="{FF0D2EE8-4327-3F41-91B1-48EA314B6E72}"/>
    <hyperlink ref="A127" r:id="rId126" tooltip="C-FVPC" display="https://wwwapps.tc.gc.ca/Saf-Sec-Sur/2/CCARCS-RIACC/ADetHis.aspx?id=709056&amp;m=FVPC" xr:uid="{812256A7-7D57-AC46-A628-A72D852AF4C6}"/>
    <hyperlink ref="A128" r:id="rId127" tooltip="C-FVPC" display="https://wwwapps.tc.gc.ca/Saf-Sec-Sur/2/CCARCS-RIACC/ADetHis.aspx?id=704964&amp;m=FVPC" xr:uid="{8F244531-2645-3844-99C4-FB0289DF09FC}"/>
    <hyperlink ref="A129" r:id="rId128" tooltip="C-FVPC" display="https://wwwapps.tc.gc.ca/Saf-Sec-Sur/2/CCARCS-RIACC/ADetHis.aspx?id=704836&amp;m=FVPC" xr:uid="{08A3B4D2-CA5A-BC41-AA15-2F942EAD8860}"/>
    <hyperlink ref="A130" r:id="rId129" tooltip="C-FVPC" display="https://wwwapps.tc.gc.ca/Saf-Sec-Sur/2/CCARCS-RIACC/ADetHis.aspx?id=659493&amp;m=FVPC" xr:uid="{483123DC-73DB-CB44-B922-621EDDE0FB2C}"/>
    <hyperlink ref="A131" r:id="rId130" tooltip="C-FVPC" display="https://wwwapps.tc.gc.ca/Saf-Sec-Sur/2/CCARCS-RIACC/ADetHis.aspx?id=616909&amp;m=FVPC" xr:uid="{D40C299E-E975-1C4E-B33F-0FA0B621685C}"/>
    <hyperlink ref="A132" r:id="rId131" tooltip="C-FSRK" display="https://wwwapps.tc.gc.ca/Saf-Sec-Sur/2/CCARCS-RIACC/ADetHis.aspx?id=1101593&amp;m=FSRK" xr:uid="{BB4918C4-AFEE-A84E-AEBB-A166683CEB48}"/>
    <hyperlink ref="A133" r:id="rId132" tooltip="C-FSRK" display="https://wwwapps.tc.gc.ca/Saf-Sec-Sur/2/CCARCS-RIACC/ADetHis.aspx?id=1101589&amp;m=FSRK" xr:uid="{C29421BD-F0F3-764F-A9BD-FE49C55912AC}"/>
    <hyperlink ref="A134" r:id="rId133" tooltip="C-FSRK" display="https://wwwapps.tc.gc.ca/Saf-Sec-Sur/2/CCARCS-RIACC/ADetHis.aspx?id=1053917&amp;m=FSRK" xr:uid="{099CD100-B3CA-264C-88EA-4701AF94FB40}"/>
    <hyperlink ref="A135" r:id="rId134" tooltip="C-FSRK" display="https://wwwapps.tc.gc.ca/Saf-Sec-Sur/2/CCARCS-RIACC/ADetHis.aspx?id=1053849&amp;m=FSRK" xr:uid="{50CB6C4F-BADA-2849-9976-5775207C39E4}"/>
    <hyperlink ref="A136" r:id="rId135" tooltip="C-FPNG" display="https://wwwapps.tc.gc.ca/Saf-Sec-Sur/2/CCARCS-RIACC/ADetHis.aspx?id=1036218&amp;m=FPNG" xr:uid="{F3038F4D-568C-E94F-B854-4B4B4AE08190}"/>
    <hyperlink ref="A137" r:id="rId136" tooltip="C-FPNG" display="https://wwwapps.tc.gc.ca/Saf-Sec-Sur/2/CCARCS-RIACC/ADetHis.aspx?id=1027401&amp;m=FPNG" xr:uid="{C1E5437B-796C-6248-83B5-D83AF3A519C1}"/>
    <hyperlink ref="A138" r:id="rId137" tooltip="C-FPNG" display="https://wwwapps.tc.gc.ca/Saf-Sec-Sur/2/CCARCS-RIACC/ADetHis.aspx?id=1027391&amp;m=FPNG" xr:uid="{88806AB0-CE62-614F-A7DE-7D0D7D92C66D}"/>
    <hyperlink ref="A139" r:id="rId138" tooltip="C-FPCZ" display="https://wwwapps.tc.gc.ca/Saf-Sec-Sur/2/CCARCS-RIACC/ADetHis.aspx?id=658559&amp;m=FPCZ" xr:uid="{61A0356A-977C-2A43-99D3-96A8A0B7906B}"/>
    <hyperlink ref="A140" r:id="rId139" tooltip="C-FPCZ" display="https://wwwapps.tc.gc.ca/Saf-Sec-Sur/2/CCARCS-RIACC/ADetHis.aspx?id=611027&amp;m=FPCZ" xr:uid="{0E9D9E4D-F17A-C84A-84DD-F0C138BA6A7A}"/>
    <hyperlink ref="A141" r:id="rId140" tooltip="C-FPCL" display="https://wwwapps.tc.gc.ca/Saf-Sec-Sur/2/CCARCS-RIACC/ADetHis.aspx?id=820995&amp;m=FPCL" xr:uid="{C89658A7-E7F4-E041-B601-1C358A2DDDC8}"/>
    <hyperlink ref="A142" r:id="rId141" tooltip="C-FPCL" display="https://wwwapps.tc.gc.ca/Saf-Sec-Sur/2/CCARCS-RIACC/ADetHis.aspx?id=812985&amp;m=FPCL" xr:uid="{1BA5FA61-C7C1-6F44-A2B7-282F7890ABD8}"/>
    <hyperlink ref="A143" r:id="rId142" tooltip="C-FPCL" display="https://wwwapps.tc.gc.ca/Saf-Sec-Sur/2/CCARCS-RIACC/ADetHis.aspx?id=812983&amp;m=FPCL" xr:uid="{EAC0BA8F-0448-A44B-A42B-5F8AD880754A}"/>
    <hyperlink ref="A144" r:id="rId143" tooltip="C-FPCI" display="https://wwwapps.tc.gc.ca/Saf-Sec-Sur/2/CCARCS-RIACC/ADetHis.aspx?id=950257&amp;m=FPCI" xr:uid="{9E843EC2-AA4F-3446-8213-70AD93D4B269}"/>
    <hyperlink ref="A145" r:id="rId144" tooltip="C-FPCI" display="https://wwwapps.tc.gc.ca/Saf-Sec-Sur/2/CCARCS-RIACC/ADetHis.aspx?id=940983&amp;m=FPCI" xr:uid="{D22B9E18-E2D9-5445-9BAB-029A846E7039}"/>
    <hyperlink ref="A146" r:id="rId145" tooltip="C-FPCI" display="https://wwwapps.tc.gc.ca/Saf-Sec-Sur/2/CCARCS-RIACC/ADetHis.aspx?id=93230&amp;m=FPCI" xr:uid="{B84DC136-EF27-E242-8AB0-E53682C4498E}"/>
    <hyperlink ref="A147" r:id="rId146" tooltip="C-FNAS" display="https://wwwapps.tc.gc.ca/Saf-Sec-Sur/2/CCARCS-RIACC/ADetHis.aspx?id=91471&amp;m=FNAS" xr:uid="{E9CA2E68-4F86-2C41-95E1-3B74518EF305}"/>
    <hyperlink ref="A148" r:id="rId147" tooltip="C-FMPN" display="https://wwwapps.tc.gc.ca/Saf-Sec-Sur/2/CCARCS-RIACC/ADetHis.aspx?id=1073263&amp;m=FMPN" xr:uid="{378BA0B0-EC83-E24A-AF9E-72EDA4BD175F}"/>
    <hyperlink ref="A149" r:id="rId148" tooltip="C-FMPN" display="https://wwwapps.tc.gc.ca/Saf-Sec-Sur/2/CCARCS-RIACC/ADetHis.aspx?id=1073259&amp;m=FMPN" xr:uid="{D7B44878-3ED4-084D-8D80-A13B79B57E6A}"/>
    <hyperlink ref="A150" r:id="rId149" tooltip="C-FMPN" display="https://wwwapps.tc.gc.ca/Saf-Sec-Sur/2/CCARCS-RIACC/ADetHis.aspx?id=1071397&amp;m=FMPN" xr:uid="{109DBF11-9FA7-E943-8B54-3B29F3565A05}"/>
    <hyperlink ref="A151" r:id="rId150" tooltip="C-FMPF" display="https://wwwapps.tc.gc.ca/Saf-Sec-Sur/2/CCARCS-RIACC/ADetHis.aspx?id=911859&amp;m=FMPF" xr:uid="{E8022CA0-26E5-2144-9D0E-46770076A6E5}"/>
    <hyperlink ref="A152" r:id="rId151" tooltip="C-FMPF" display="https://wwwapps.tc.gc.ca/Saf-Sec-Sur/2/CCARCS-RIACC/ADetHis.aspx?id=895325&amp;m=FMPF" xr:uid="{440CDC33-7F7D-ED4C-A62C-0A358341174E}"/>
    <hyperlink ref="A153" r:id="rId152" tooltip="C-FMPF" display="https://wwwapps.tc.gc.ca/Saf-Sec-Sur/2/CCARCS-RIACC/ADetHis.aspx?id=895323&amp;m=FMPF" xr:uid="{067E1D7B-5C76-E843-9CB5-526C9DBE77C4}"/>
    <hyperlink ref="A154" r:id="rId153" tooltip="C-FMPF" display="https://wwwapps.tc.gc.ca/Saf-Sec-Sur/2/CCARCS-RIACC/ADetHis.aspx?id=894065&amp;m=FMPF" xr:uid="{10CE7E11-AA44-5847-A0B0-AFE67E4FB385}"/>
    <hyperlink ref="A155" r:id="rId154" tooltip="C-FMPF" display="https://wwwapps.tc.gc.ca/Saf-Sec-Sur/2/CCARCS-RIACC/ADetHis.aspx?id=877251&amp;m=FMPF" xr:uid="{4AC3EDC7-46EB-4341-A5EA-2BF67201668D}"/>
    <hyperlink ref="A156" r:id="rId155" tooltip="C-FMPF" display="https://wwwapps.tc.gc.ca/Saf-Sec-Sur/2/CCARCS-RIACC/ADetHis.aspx?id=877243&amp;m=FMPF" xr:uid="{F77F03F7-407A-384D-A5AE-007FC0B89051}"/>
    <hyperlink ref="A157" r:id="rId156" tooltip="C-FMPA" display="https://wwwapps.tc.gc.ca/Saf-Sec-Sur/2/CCARCS-RIACC/ADetHis.aspx?id=1000709&amp;m=FMPA" xr:uid="{BC87075B-9030-234D-8CE3-C9E46D5E0558}"/>
    <hyperlink ref="A158" r:id="rId157" tooltip="C-FMPA" display="https://wwwapps.tc.gc.ca/Saf-Sec-Sur/2/CCARCS-RIACC/ADetHis.aspx?id=1000665&amp;m=FMPA" xr:uid="{E8CE367E-8A53-DE43-A715-85821034F32A}"/>
    <hyperlink ref="A159" r:id="rId158" tooltip="C-FMDF" display="https://wwwapps.tc.gc.ca/Saf-Sec-Sur/2/CCARCS-RIACC/ADetHis.aspx?id=90219&amp;m=FMDF" xr:uid="{CC21C456-E610-264A-ABBA-77FA5FD19227}"/>
    <hyperlink ref="A160" r:id="rId159" tooltip="C-FKVL" display="https://wwwapps.tc.gc.ca/Saf-Sec-Sur/2/CCARCS-RIACC/ADetHis.aspx?id=914009&amp;m=FKVL" xr:uid="{03A1C56A-6D16-CA46-896F-ED1525A211F4}"/>
    <hyperlink ref="A161" r:id="rId160" tooltip="C-FKVL" display="https://wwwapps.tc.gc.ca/Saf-Sec-Sur/2/CCARCS-RIACC/ADetHis.aspx?id=906397&amp;m=FKVL" xr:uid="{B495574F-2D62-0E41-ACF1-473748CC930A}"/>
    <hyperlink ref="A162" r:id="rId161" tooltip="C-FKVL" display="https://wwwapps.tc.gc.ca/Saf-Sec-Sur/2/CCARCS-RIACC/ADetHis.aspx?id=92411&amp;m=FKVL" xr:uid="{86258DFA-2F25-164B-AAEF-1B27A1EC820F}"/>
    <hyperlink ref="A163" r:id="rId162" tooltip="C-FKUL" display="https://wwwapps.tc.gc.ca/Saf-Sec-Sur/2/CCARCS-RIACC/ADetHis.aspx?id=1094058&amp;m=FKUL" xr:uid="{C5280E8B-EBE6-7E43-81D0-FFD38392858B}"/>
    <hyperlink ref="A164" r:id="rId163" tooltip="C-FKUL" display="https://wwwapps.tc.gc.ca/Saf-Sec-Sur/2/CCARCS-RIACC/ADetHis.aspx?id=1094054&amp;m=FKUL" xr:uid="{2333EDDE-C711-3247-8196-A4E6B2A326A4}"/>
    <hyperlink ref="A165" r:id="rId164" tooltip="C-FKUL" display="https://wwwapps.tc.gc.ca/Saf-Sec-Sur/2/CCARCS-RIACC/ADetHis.aspx?id=1026018&amp;m=FKUL" xr:uid="{A65BC533-F2E8-244E-B629-D519314CB0D5}"/>
    <hyperlink ref="A166" r:id="rId165" tooltip="C-FKUL" display="https://wwwapps.tc.gc.ca/Saf-Sec-Sur/2/CCARCS-RIACC/ADetHis.aspx?id=1007450&amp;m=FKUL" xr:uid="{E16AEA4B-FEAB-6248-8331-E4A364C7E1CA}"/>
    <hyperlink ref="A167" r:id="rId166" tooltip="C-FKUL" display="https://wwwapps.tc.gc.ca/Saf-Sec-Sur/2/CCARCS-RIACC/ADetHis.aspx?id=995023&amp;m=FKUL" xr:uid="{0F2D7B24-941E-1D4D-A025-081DA55C9460}"/>
    <hyperlink ref="A168" r:id="rId167" tooltip="C-FKUL" display="https://wwwapps.tc.gc.ca/Saf-Sec-Sur/2/CCARCS-RIACC/ADetHis.aspx?id=967601&amp;m=FKUL" xr:uid="{0E1BEE9F-59F1-DB42-9AA6-EE3CAE42FE99}"/>
    <hyperlink ref="A169" r:id="rId168" tooltip="C-FKUL" display="https://wwwapps.tc.gc.ca/Saf-Sec-Sur/2/CCARCS-RIACC/ADetHis.aspx?id=939837&amp;m=FKUL" xr:uid="{5B628BC6-8467-1947-B359-A0FAC24FF9E8}"/>
    <hyperlink ref="A170" r:id="rId169" tooltip="C-FKUL" display="https://wwwapps.tc.gc.ca/Saf-Sec-Sur/2/CCARCS-RIACC/ADetHis.aspx?id=723345&amp;m=FKUL" xr:uid="{4DE265F7-4EF6-0847-BE8A-52E26D8C3FB0}"/>
    <hyperlink ref="A171" r:id="rId170" tooltip="C-FKUL" display="https://wwwapps.tc.gc.ca/Saf-Sec-Sur/2/CCARCS-RIACC/ADetHis.aspx?id=91820&amp;m=FKUL" xr:uid="{612024BC-4CBC-B345-91A6-898A3E335741}"/>
    <hyperlink ref="A172" r:id="rId171" tooltip="C-FKSL" display="https://wwwapps.tc.gc.ca/Saf-Sec-Sur/2/CCARCS-RIACC/ADetHis.aspx?id=946511&amp;m=FKSL" xr:uid="{70EBEE42-7356-514A-B946-EE9200B5E610}"/>
    <hyperlink ref="A173" r:id="rId172" tooltip="C-FKSL" display="https://wwwapps.tc.gc.ca/Saf-Sec-Sur/2/CCARCS-RIACC/ADetHis.aspx?id=943363&amp;m=FKSL" xr:uid="{1B690D5D-2B46-8B46-9C02-D05797B261E5}"/>
    <hyperlink ref="A174" r:id="rId173" tooltip="C-FKSL" display="https://wwwapps.tc.gc.ca/Saf-Sec-Sur/2/CCARCS-RIACC/ADetHis.aspx?id=91825&amp;m=FKSL" xr:uid="{C1D4428A-95A7-C346-9FA7-CF9D96BCB996}"/>
    <hyperlink ref="A175" r:id="rId174" tooltip="C-FKPX" display="https://wwwapps.tc.gc.ca/Saf-Sec-Sur/2/CCARCS-RIACC/ADetHis.aspx?id=1027395&amp;m=FKPX" xr:uid="{F6E3B219-A57E-8E42-93B9-6C2998C2E7DD}"/>
    <hyperlink ref="A176" r:id="rId175" tooltip="C-FKPX" display="https://wwwapps.tc.gc.ca/Saf-Sec-Sur/2/CCARCS-RIACC/ADetHis.aspx?id=988245&amp;m=FKPX" xr:uid="{1ACE0164-27CB-944C-BC81-8BCEDA9AC3CF}"/>
    <hyperlink ref="A177" r:id="rId176" tooltip="C-FKPX" display="https://wwwapps.tc.gc.ca/Saf-Sec-Sur/2/CCARCS-RIACC/ADetHis.aspx?id=710802&amp;m=FKPX" xr:uid="{E8FEF786-DF04-E041-9324-DE70FACF1996}"/>
    <hyperlink ref="A178" r:id="rId177" tooltip="C-FKPX" display="https://wwwapps.tc.gc.ca/Saf-Sec-Sur/2/CCARCS-RIACC/ADetHis.aspx?id=665673&amp;m=FKPX" xr:uid="{85C819FA-371F-3047-B8C8-7A8921FDB444}"/>
    <hyperlink ref="A179" r:id="rId178" tooltip="C-FKPI" display="https://wwwapps.tc.gc.ca/Saf-Sec-Sur/2/CCARCS-RIACC/ADetHis.aspx?id=85983&amp;m=FKPI" xr:uid="{0FDA2D02-CB13-484C-9C73-A6DE9FF09369}"/>
    <hyperlink ref="A180" r:id="rId179" tooltip="C-FKPI" display="https://wwwapps.tc.gc.ca/Saf-Sec-Sur/2/CCARCS-RIACC/ADetHis.aspx?id=84721&amp;m=FKPI" xr:uid="{A487E849-CF4A-F742-9C8D-D37F76179B69}"/>
    <hyperlink ref="A181" r:id="rId180" tooltip="C-FKPA" display="https://wwwapps.tc.gc.ca/Saf-Sec-Sur/2/CCARCS-RIACC/ADetHis.aspx?id=85681&amp;m=FKPA" xr:uid="{73A6432C-53F7-1546-8737-6C91FDDE5266}"/>
    <hyperlink ref="A182" r:id="rId181" tooltip="C-FKGA" display="https://wwwapps.tc.gc.ca/Saf-Sec-Sur/2/CCARCS-RIACC/ADetHis.aspx?id=1029605&amp;m=FKGA" xr:uid="{804916EB-34EA-EC40-BDE3-A30C7D8352BB}"/>
    <hyperlink ref="A183" r:id="rId182" tooltip="C-FKGA" display="https://wwwapps.tc.gc.ca/Saf-Sec-Sur/2/CCARCS-RIACC/ADetHis.aspx?id=1000715&amp;m=FKGA" xr:uid="{D23B3F92-B0CD-4C41-B83A-85011A96D011}"/>
    <hyperlink ref="A184" r:id="rId183" tooltip="C-FKGA" display="https://wwwapps.tc.gc.ca/Saf-Sec-Sur/2/CCARCS-RIACC/ADetHis.aspx?id=1000713&amp;m=FKGA" xr:uid="{9A2946EC-B8E2-3445-BE30-CBF183B3E6FB}"/>
    <hyperlink ref="A185" r:id="rId184" tooltip="C-FKAE" display="https://wwwapps.tc.gc.ca/Saf-Sec-Sur/2/CCARCS-RIACC/ADetHis.aspx?id=79581&amp;m=FKAE" xr:uid="{BA57E166-D7D2-E342-8B07-705D6628890D}"/>
    <hyperlink ref="A186" r:id="rId185" tooltip="C-FKAE" display="https://wwwapps.tc.gc.ca/Saf-Sec-Sur/2/CCARCS-RIACC/ADetHis.aspx?id=79090&amp;m=FKAE" xr:uid="{54F64F69-99E5-B64F-BD9C-AE4CBB2AC99C}"/>
    <hyperlink ref="A187" r:id="rId186" tooltip="C-FKAC" display="https://wwwapps.tc.gc.ca/Saf-Sec-Sur/2/CCARCS-RIACC/ADetHis.aspx?id=83847&amp;m=FKAC" xr:uid="{DD6FF2F3-351A-F847-8CB9-D86A826B0781}"/>
    <hyperlink ref="A188" r:id="rId187" tooltip="C-FIJV" display="https://wwwapps.tc.gc.ca/Saf-Sec-Sur/2/CCARCS-RIACC/ADetHis.aspx?id=947437&amp;m=FIJV" xr:uid="{B1C1BEFC-F4BF-0149-94AA-94A7B0CF3FE9}"/>
    <hyperlink ref="A189" r:id="rId188" tooltip="C-FIJV" display="https://wwwapps.tc.gc.ca/Saf-Sec-Sur/2/CCARCS-RIACC/ADetHis.aspx?id=947433&amp;m=FIJV" xr:uid="{110962A5-6D69-6145-9952-2E5127D0DEDA}"/>
    <hyperlink ref="A190" r:id="rId189" tooltip="C-FIJV" display="https://wwwapps.tc.gc.ca/Saf-Sec-Sur/2/CCARCS-RIACC/ADetHis.aspx?id=937673&amp;m=FIJV" xr:uid="{459F8E09-4975-514B-973F-DE9D2F4F8733}"/>
    <hyperlink ref="A191" r:id="rId190" tooltip="C-FGRE" display="https://wwwapps.tc.gc.ca/Saf-Sec-Sur/2/CCARCS-RIACC/ADetHis.aspx?id=85450&amp;m=FGRE" xr:uid="{06B89E8E-0F9F-494E-8508-257C8EB41C6B}"/>
    <hyperlink ref="A192" r:id="rId191" tooltip="C-FGFL" display="https://wwwapps.tc.gc.ca/Saf-Sec-Sur/2/CCARCS-RIACC/ADetHis.aspx?id=90066&amp;m=FGFL" xr:uid="{443EF66B-2E58-C443-8615-8D5956A3127E}"/>
    <hyperlink ref="A193" r:id="rId192" tooltip="C-FDLV" display="https://wwwapps.tc.gc.ca/Saf-Sec-Sur/2/CCARCS-RIACC/ADetHis.aspx?id=991041&amp;m=FDLV" xr:uid="{D460B1EF-32EC-7342-807E-F5FB3214A687}"/>
    <hyperlink ref="A194" r:id="rId193" tooltip="C-FDLV" display="https://wwwapps.tc.gc.ca/Saf-Sec-Sur/2/CCARCS-RIACC/ADetHis.aspx?id=937239&amp;m=FDLV" xr:uid="{CAE785B6-78B7-514A-945A-76B63DB5D531}"/>
    <hyperlink ref="A195" r:id="rId194" tooltip="C-FDLV" display="https://wwwapps.tc.gc.ca/Saf-Sec-Sur/2/CCARCS-RIACC/ADetHis.aspx?id=937237&amp;m=FDLV" xr:uid="{3CC5CCCA-71BF-0347-9BB1-D4E269C6E396}"/>
    <hyperlink ref="A196" r:id="rId195" tooltip="C-FCJV" display="https://wwwapps.tc.gc.ca/Saf-Sec-Sur/2/CCARCS-RIACC/ADetHis.aspx?id=947445&amp;m=FCJV" xr:uid="{98FEB1F6-60FB-0444-A2C2-8886FF154EEE}"/>
    <hyperlink ref="A197" r:id="rId196" tooltip="C-FCJV" display="https://wwwapps.tc.gc.ca/Saf-Sec-Sur/2/CCARCS-RIACC/ADetHis.aspx?id=947441&amp;m=FCJV" xr:uid="{2B43FA2F-A812-4949-BA51-5A09CC8A1138}"/>
    <hyperlink ref="A198" r:id="rId197" tooltip="C-FCJV" display="https://wwwapps.tc.gc.ca/Saf-Sec-Sur/2/CCARCS-RIACC/ADetHis.aspx?id=937655&amp;m=FCJV" xr:uid="{798996E8-3091-384F-87D7-657D26FE2B1F}"/>
    <hyperlink ref="A199" r:id="rId198" tooltip="C-FCJV" display="https://wwwapps.tc.gc.ca/Saf-Sec-Sur/2/CCARCS-RIACC/ADetHis.aspx?id=811373&amp;m=FCJV" xr:uid="{D88F3134-A304-5C4B-8BF2-A10DA1EBD38F}"/>
    <hyperlink ref="A200" r:id="rId199" tooltip="C-FCJV" display="https://wwwapps.tc.gc.ca/Saf-Sec-Sur/2/CCARCS-RIACC/ADetHis.aspx?id=785647&amp;m=FCJV" xr:uid="{9D77BC59-B91F-A941-BE96-098F86047560}"/>
    <hyperlink ref="A201" r:id="rId200" tooltip="C-FCJV" display="https://wwwapps.tc.gc.ca/Saf-Sec-Sur/2/CCARCS-RIACC/ADetHis.aspx?id=83407&amp;m=FCJV" xr:uid="{4B670E8C-31BC-5D4E-BF98-82D9C1630400}"/>
    <hyperlink ref="A202" r:id="rId201" tooltip="C-FAXY" display="https://wwwapps.tc.gc.ca/Saf-Sec-Sur/2/CCARCS-RIACC/ADetHis.aspx?id=1103797&amp;m=FAXY" xr:uid="{92932852-BCFE-7449-A2ED-0D0132B5AC21}"/>
    <hyperlink ref="A203" r:id="rId202" tooltip="C-FAXY" display="https://wwwapps.tc.gc.ca/Saf-Sec-Sur/2/CCARCS-RIACC/ADetHis.aspx?id=1093968&amp;m=FAXY" xr:uid="{0AF9CF52-F19A-714F-84D8-8680FA216C2A}"/>
    <hyperlink ref="A204" r:id="rId203" tooltip="C-GVKC" display="https://wwwapps.tc.gc.ca/Saf-Sec-Sur/2/CCARCS-RIACC/ADetHis.aspx?id=1272170&amp;m=GVKC" xr:uid="{050187E2-BACF-A14F-AC77-F72F7BA8DB8B}"/>
    <hyperlink ref="A205" r:id="rId204" tooltip="C-GVKC" display="https://wwwapps.tc.gc.ca/Saf-Sec-Sur/2/CCARCS-RIACC/ADetHis.aspx?id=1134436&amp;m=GVKC" xr:uid="{4A435F98-49E2-A742-8801-0B281DAF46F6}"/>
    <hyperlink ref="A206" r:id="rId205" tooltip="C-GTXV" display="https://wwwapps.tc.gc.ca/Saf-Sec-Sur/2/CCARCS-RIACC/ADetHis.aspx?id=1218636&amp;m=GTXV" xr:uid="{18AFBAA3-FC69-D240-8D3F-DD1FB994FDF5}"/>
    <hyperlink ref="A207" r:id="rId206" tooltip="C-GTXV" display="https://wwwapps.tc.gc.ca/Saf-Sec-Sur/2/CCARCS-RIACC/ADetHis.aspx?id=1209078&amp;m=GTXV" xr:uid="{360BF1A5-3FA8-154D-A9EE-764E88CC90CE}"/>
    <hyperlink ref="A208" r:id="rId207" tooltip="C-GPAI" display="https://wwwapps.tc.gc.ca/Saf-Sec-Sur/2/CCARCS-RIACC/ADetHis.aspx?id=1269777&amp;m=GPAI" xr:uid="{33B0DC83-E80D-9041-813D-9A1A33972669}"/>
    <hyperlink ref="A209" r:id="rId208" tooltip="C-GPAI" display="https://wwwapps.tc.gc.ca/Saf-Sec-Sur/2/CCARCS-RIACC/ADetHis.aspx?id=1269773&amp;m=GPAI" xr:uid="{E7B7AB82-33C7-BE4A-903C-433082168C33}"/>
    <hyperlink ref="A210" r:id="rId209" tooltip="C-GPAI" display="https://wwwapps.tc.gc.ca/Saf-Sec-Sur/2/CCARCS-RIACC/ADetHis.aspx?id=1269066&amp;m=GPAI" xr:uid="{2DCD1091-1D40-E545-9C4F-E7B39CD27085}"/>
    <hyperlink ref="A211" r:id="rId210" tooltip="C-GPAI" display="https://wwwapps.tc.gc.ca/Saf-Sec-Sur/2/CCARCS-RIACC/ADetHis.aspx?id=1269064&amp;m=GPAI" xr:uid="{098A9B15-4AEE-9142-A7A5-FA778F67CC7A}"/>
    <hyperlink ref="A212" r:id="rId211" tooltip="C-GOHI" display="https://wwwapps.tc.gc.ca/Saf-Sec-Sur/2/CCARCS-RIACC/ADetHis.aspx?id=1125514&amp;m=GOHI" xr:uid="{55EBD70A-B5B3-364D-984B-B65C6004F82E}"/>
    <hyperlink ref="A213" r:id="rId212" tooltip="C-GOHI" display="https://wwwapps.tc.gc.ca/Saf-Sec-Sur/2/CCARCS-RIACC/ADetHis.aspx?id=1114901&amp;m=GOHI" xr:uid="{6066989C-5BCE-5B46-B959-2628314FDBCC}"/>
    <hyperlink ref="A214" r:id="rId213" tooltip="C-GOHI" display="https://wwwapps.tc.gc.ca/Saf-Sec-Sur/2/CCARCS-RIACC/ADetHis.aspx?id=1114859&amp;m=GOHI" xr:uid="{680C611E-BCF0-AA46-96CB-4460AA12C72C}"/>
    <hyperlink ref="A215" r:id="rId214" tooltip="C-GMQZ" display="https://wwwapps.tc.gc.ca/Saf-Sec-Sur/2/CCARCS-RIACC/ADetHis.aspx?id=1161062&amp;m=GMQZ" xr:uid="{B45AF826-689E-6348-835B-C85A95E36F21}"/>
    <hyperlink ref="A216" r:id="rId215" tooltip="C-GMQZ" display="https://wwwapps.tc.gc.ca/Saf-Sec-Sur/2/CCARCS-RIACC/ADetHis.aspx?id=1157212&amp;m=GMQZ" xr:uid="{E0008AC6-9129-9540-834F-26775DC70066}"/>
    <hyperlink ref="A217" r:id="rId216" tooltip="C-GMPZ" display="https://wwwapps.tc.gc.ca/Saf-Sec-Sur/2/CCARCS-RIACC/ADetHis.aspx?id=1157206&amp;m=GMPZ" xr:uid="{3E0D7904-4BE4-8642-8DC1-59143DF02390}"/>
    <hyperlink ref="A218" r:id="rId217" tooltip="C-GMPZ" display="https://wwwapps.tc.gc.ca/Saf-Sec-Sur/2/CCARCS-RIACC/ADetHis.aspx?id=1156741&amp;m=GMPZ" xr:uid="{4D328E14-CE41-0946-ADCC-DA44B96FE2CD}"/>
    <hyperlink ref="A219" r:id="rId218" tooltip="C-GMLF" display="https://wwwapps.tc.gc.ca/Saf-Sec-Sur/2/CCARCS-RIACC/ADetHis.aspx?id=1217927&amp;m=GMLF" xr:uid="{5352406D-D143-C64A-BCD2-EBF4A6C0D307}"/>
    <hyperlink ref="A220" r:id="rId219" tooltip="C-GMLF" display="https://wwwapps.tc.gc.ca/Saf-Sec-Sur/2/CCARCS-RIACC/ADetHis.aspx?id=1104039&amp;m=GMLF" xr:uid="{2F528427-446B-2D40-B8C0-7414C8B2378A}"/>
    <hyperlink ref="A221" r:id="rId220" tooltip="C-GKVT" display="https://wwwapps.tc.gc.ca/Saf-Sec-Sur/2/CCARCS-RIACC/ADetHis.aspx?id=1108083&amp;m=GKVT" xr:uid="{1BEE0C86-42B8-B348-BC9E-11493C353225}"/>
    <hyperlink ref="A222" r:id="rId221" tooltip="C-GKVT" display="https://wwwapps.tc.gc.ca/Saf-Sec-Sur/2/CCARCS-RIACC/ADetHis.aspx?id=1108079&amp;m=GKVT" xr:uid="{6AA34B08-BF70-AB45-9CDF-F7488184D3F9}"/>
    <hyperlink ref="A223" r:id="rId222" tooltip="C-GKVT" display="https://wwwapps.tc.gc.ca/Saf-Sec-Sur/2/CCARCS-RIACC/ADetHis.aspx?id=1104037&amp;m=GKVT" xr:uid="{08BFD2A5-AAFB-C94B-A3B4-6EAC1B038D9E}"/>
    <hyperlink ref="A224" r:id="rId223" tooltip="C-GKRY" display="https://wwwapps.tc.gc.ca/Saf-Sec-Sur/2/CCARCS-RIACC/ADetHis.aspx?id=1267743&amp;m=GKRY" xr:uid="{60FA428A-751F-244A-8916-304F390BE403}"/>
    <hyperlink ref="A225" r:id="rId224" tooltip="C-GKRY" display="https://wwwapps.tc.gc.ca/Saf-Sec-Sur/2/CCARCS-RIACC/ADetHis.aspx?id=1104041&amp;m=GKRY" xr:uid="{A36C4336-F8BB-F14B-A586-599C3AFDDC85}"/>
    <hyperlink ref="A226" r:id="rId225" tooltip="C-GKAY" display="https://wwwapps.tc.gc.ca/Saf-Sec-Sur/2/CCARCS-RIACC/ADetHis.aspx?id=1137362&amp;m=GKAY" xr:uid="{92EB7524-B537-1648-9F17-B11996DA72FF}"/>
    <hyperlink ref="A227" r:id="rId226" tooltip="C-GKAY" display="https://wwwapps.tc.gc.ca/Saf-Sec-Sur/2/CCARCS-RIACC/ADetHis.aspx?id=1118670&amp;m=GKAY" xr:uid="{25527614-A1E6-B540-93A0-B85DC047B12E}"/>
    <hyperlink ref="A228" r:id="rId227" tooltip="C-GKAY" display="https://wwwapps.tc.gc.ca/Saf-Sec-Sur/2/CCARCS-RIACC/ADetHis.aspx?id=1106372&amp;m=GKAY" xr:uid="{7347BB37-443E-2A46-91FF-B7DAFBF9C365}"/>
    <hyperlink ref="A229" r:id="rId228" tooltip="C-GKAY" display="https://wwwapps.tc.gc.ca/Saf-Sec-Sur/2/CCARCS-RIACC/ADetHis.aspx?id=1104033&amp;m=GKAY" xr:uid="{003C8C2B-DEDE-9645-ABA7-15191603BD39}"/>
    <hyperlink ref="A230" r:id="rId229" tooltip="C-GJRG" display="https://wwwapps.tc.gc.ca/Saf-Sec-Sur/2/CCARCS-RIACC/ADetHis.aspx?id=1227701&amp;m=GJRG" xr:uid="{28F5D41A-060B-5E4A-B614-6E2B67522259}"/>
    <hyperlink ref="A231" r:id="rId230" tooltip="C-GJRG" display="https://wwwapps.tc.gc.ca/Saf-Sec-Sur/2/CCARCS-RIACC/ADetHis.aspx?id=1200972&amp;m=GJRG" xr:uid="{7BCC84B2-5375-EA43-A1C6-53B69479795A}"/>
    <hyperlink ref="A232" r:id="rId231" tooltip="C-GJRG" display="https://wwwapps.tc.gc.ca/Saf-Sec-Sur/2/CCARCS-RIACC/ADetHis.aspx?id=1192075&amp;m=GJRG" xr:uid="{655F6015-58C0-A44F-AB8E-8BDCA50B7DA6}"/>
    <hyperlink ref="A233" r:id="rId232" tooltip="C-GJRG" display="https://wwwapps.tc.gc.ca/Saf-Sec-Sur/2/CCARCS-RIACC/ADetHis.aspx?id=1187116&amp;m=GJRG" xr:uid="{2DD9C4AE-D0F6-2245-B045-8073D83BE8F5}"/>
    <hyperlink ref="A234" r:id="rId233" tooltip="C-GJRG" display="https://wwwapps.tc.gc.ca/Saf-Sec-Sur/2/CCARCS-RIACC/ADetHis.aspx?id=1187114&amp;m=GJRG" xr:uid="{852A3D4B-B72E-DC42-8BF7-C48E39FFBA3F}"/>
    <hyperlink ref="A235" r:id="rId234" tooltip="C-GHPF" display="https://wwwapps.tc.gc.ca/Saf-Sec-Sur/2/CCARCS-RIACC/ADetHis.aspx?id=1239644&amp;m=GHPF" xr:uid="{5A040479-D09C-C644-A68B-2EAAD99EED00}"/>
    <hyperlink ref="A236" r:id="rId235" tooltip="C-GHPF" display="https://wwwapps.tc.gc.ca/Saf-Sec-Sur/2/CCARCS-RIACC/ADetHis.aspx?id=1218640&amp;m=GHPF" xr:uid="{CD070A89-5AF4-924C-A532-8FD432A7B4C8}"/>
    <hyperlink ref="A237" r:id="rId236" tooltip="C-GFKA" display="https://wwwapps.tc.gc.ca/Saf-Sec-Sur/2/CCARCS-RIACC/ADetHis.aspx?id=1239525&amp;m=GFKA" xr:uid="{74DFE870-D8A8-0147-A69F-37AB3C23080A}"/>
    <hyperlink ref="A238" r:id="rId237" tooltip="C-GFKA" display="https://wwwapps.tc.gc.ca/Saf-Sec-Sur/2/CCARCS-RIACC/ADetHis.aspx?id=1214554&amp;m=GFKA" xr:uid="{F87492D8-2305-E345-9EAD-259702487343}"/>
    <hyperlink ref="A239" r:id="rId238" tooltip="C-GFKA" display="https://wwwapps.tc.gc.ca/Saf-Sec-Sur/2/CCARCS-RIACC/ADetHis.aspx?id=1214552&amp;m=GFKA" xr:uid="{CB6AAC92-4075-664F-8099-C5F8DF9268DB}"/>
    <hyperlink ref="A240" r:id="rId239" tooltip="C-GECT" display="https://wwwapps.tc.gc.ca/Saf-Sec-Sur/2/CCARCS-RIACC/ADetHis.aspx?id=1285143&amp;m=GECT" xr:uid="{95515D57-C1D5-6545-B507-9F394125BCC7}"/>
    <hyperlink ref="A241" r:id="rId240" tooltip="C-GECT" display="https://wwwapps.tc.gc.ca/Saf-Sec-Sur/2/CCARCS-RIACC/ADetHis.aspx?id=1104031&amp;m=GECT" xr:uid="{3D8FCC3C-AE94-9F42-810E-7C95F6D68C14}"/>
    <hyperlink ref="A242" r:id="rId241" tooltip="C-GDGD" display="https://wwwapps.tc.gc.ca/Saf-Sec-Sur/2/CCARCS-RIACC/ADetHis.aspx?id=1280542&amp;m=GDGD" xr:uid="{81C3E563-93D8-974B-85C7-5B846D68D73B}"/>
    <hyperlink ref="A243" r:id="rId242" tooltip="C-GDGD" display="https://wwwapps.tc.gc.ca/Saf-Sec-Sur/2/CCARCS-RIACC/ADetHis.aspx?id=1137468&amp;m=GDGD" xr:uid="{4F65729F-23F6-B940-A673-CE444EB241B3}"/>
    <hyperlink ref="A244" r:id="rId243" tooltip="C-GDGD" display="https://wwwapps.tc.gc.ca/Saf-Sec-Sur/2/CCARCS-RIACC/ADetHis.aspx?id=1104035&amp;m=GDGD" xr:uid="{B9747957-4C55-D345-993B-2000A203FF9C}"/>
    <hyperlink ref="A245" r:id="rId244" tooltip="C-GBXW" display="https://wwwapps.tc.gc.ca/Saf-Sec-Sur/2/CCARCS-RIACC/ADetHis.aspx?id=1230264&amp;m=GBXW" xr:uid="{6AA9DF71-54E9-0744-BAB1-9C476452F6EE}"/>
    <hyperlink ref="A246" r:id="rId245" tooltip="C-FVPK" display="https://wwwapps.tc.gc.ca/Saf-Sec-Sur/2/CCARCS-RIACC/ADetHis.aspx?id=1269056&amp;m=FVPK" xr:uid="{341E1E72-CDD2-324A-B2B1-488B972CCC1D}"/>
    <hyperlink ref="A247" r:id="rId246" tooltip="C-FVPK" display="https://wwwapps.tc.gc.ca/Saf-Sec-Sur/2/CCARCS-RIACC/ADetHis.aspx?id=1104043&amp;m=FVPK" xr:uid="{70A11E33-1450-A845-B04F-EC5C6FAF13F3}"/>
    <hyperlink ref="A248" r:id="rId247" tooltip="C-FUAM" display="https://wwwapps.tc.gc.ca/Saf-Sec-Sur/2/CCARCS-RIACC/ADetHis.aspx?id=1209360&amp;m=FUAM" xr:uid="{B6D3CE2A-358D-8D4E-8FD8-A8AC659A9A6B}"/>
    <hyperlink ref="A249" r:id="rId248" tooltip="C-FUAM" display="https://wwwapps.tc.gc.ca/Saf-Sec-Sur/2/CCARCS-RIACC/ADetHis.aspx?id=1173926&amp;m=FUAM" xr:uid="{C0278436-B558-E145-ADF8-F46A431B49AA}"/>
    <hyperlink ref="A250" r:id="rId249" tooltip="C-FUAM" display="https://wwwapps.tc.gc.ca/Saf-Sec-Sur/2/CCARCS-RIACC/ADetHis.aspx?id=1173920&amp;m=FUAM" xr:uid="{369483C1-8D21-704E-AC44-877DC3BF175D}"/>
    <hyperlink ref="A251" r:id="rId250" tooltip="C-FPCL" display="https://wwwapps.tc.gc.ca/Saf-Sec-Sur/2/CCARCS-RIACC/ADetHis.aspx?id=1245022&amp;m=FPCL" xr:uid="{E8A8F162-5D17-7E45-AAB7-17C1A7BA44B9}"/>
    <hyperlink ref="A252" r:id="rId251" tooltip="C-FNGE" display="https://wwwapps.tc.gc.ca/Saf-Sec-Sur/2/CCARCS-RIACC/ADetHis.aspx?id=1267741&amp;m=FNGE" xr:uid="{D372F206-6E34-5C49-B64D-D84CD479D9E5}"/>
    <hyperlink ref="A253" r:id="rId252" tooltip="C-FNGE" display="https://wwwapps.tc.gc.ca/Saf-Sec-Sur/2/CCARCS-RIACC/ADetHis.aspx?id=1211164&amp;m=FNGE" xr:uid="{4C9B1EA3-DC13-9D49-A140-2B6CEF7CFDAA}"/>
    <hyperlink ref="A254" r:id="rId253" tooltip="C-FNGE" display="https://wwwapps.tc.gc.ca/Saf-Sec-Sur/2/CCARCS-RIACC/ADetHis.aspx?id=1211152&amp;m=FNGE" xr:uid="{8C4666DF-0027-8C49-9FB8-13C4E2DEEF39}"/>
    <hyperlink ref="A255" r:id="rId254" tooltip="C-FMPE" display="https://wwwapps.tc.gc.ca/Saf-Sec-Sur/2/CCARCS-RIACC/ADetHis.aspx?id=1254477&amp;m=FMPE" xr:uid="{884275CB-1312-B845-BA6A-1DBFB2384902}"/>
    <hyperlink ref="A256" r:id="rId255" tooltip="C-FMPE" display="https://wwwapps.tc.gc.ca/Saf-Sec-Sur/2/CCARCS-RIACC/ADetHis.aspx?id=1254473&amp;m=FMPE" xr:uid="{C30DA62B-8872-AE4B-B80A-0A39694A6302}"/>
    <hyperlink ref="A257" r:id="rId256" tooltip="C-FMPE" display="https://wwwapps.tc.gc.ca/Saf-Sec-Sur/2/CCARCS-RIACC/ADetHis.aspx?id=1251544&amp;m=FMPE" xr:uid="{2C5E59B2-12D9-EB4C-BC4F-30EF4D641F09}"/>
    <hyperlink ref="A258" r:id="rId257" tooltip="C-FMPE" display="https://wwwapps.tc.gc.ca/Saf-Sec-Sur/2/CCARCS-RIACC/ADetHis.aspx?id=1251542&amp;m=FMPE" xr:uid="{610A7B10-4552-F343-9899-282991CEB318}"/>
    <hyperlink ref="A259" r:id="rId258" tooltip="C-FMAO" display="https://wwwapps.tc.gc.ca/Saf-Sec-Sur/2/CCARCS-RIACC/ADetHis.aspx?id=1209358&amp;m=FMAO" xr:uid="{BC11834F-19A2-584F-A71A-7ACE93AE8873}"/>
    <hyperlink ref="A260" r:id="rId259" tooltip="C-FMAO" display="https://wwwapps.tc.gc.ca/Saf-Sec-Sur/2/CCARCS-RIACC/ADetHis.aspx?id=1174950&amp;m=FMAO" xr:uid="{68CFE806-0C27-FC46-A531-7B63969F3A45}"/>
    <hyperlink ref="A261" r:id="rId260" tooltip="C-FMAO" display="https://wwwapps.tc.gc.ca/Saf-Sec-Sur/2/CCARCS-RIACC/ADetHis.aspx?id=1174942&amp;m=FMAO" xr:uid="{01D8CC86-E06B-204A-9F5A-50B0ED9BFD00}"/>
    <hyperlink ref="A262" r:id="rId261" tooltip="C-FKVL" display="https://wwwapps.tc.gc.ca/Saf-Sec-Sur/2/CCARCS-RIACC/ADetHis.aspx?id=1269146&amp;m=FKVL" xr:uid="{377A0CDA-8CD0-C946-AE35-BCFFB17F45C3}"/>
    <hyperlink ref="A263" r:id="rId262" tooltip="C-FKVL" display="https://wwwapps.tc.gc.ca/Saf-Sec-Sur/2/CCARCS-RIACC/ADetHis.aspx?id=1269142&amp;m=FKVL" xr:uid="{F065B44B-FEC4-DE40-A79F-A232DED8933D}"/>
    <hyperlink ref="A264" r:id="rId263" tooltip="C-FKVL" display="https://wwwapps.tc.gc.ca/Saf-Sec-Sur/2/CCARCS-RIACC/ADetHis.aspx?id=1231239&amp;m=FKVL" xr:uid="{86DC8C67-7527-9643-A351-3EC2BF9F9989}"/>
    <hyperlink ref="A265" r:id="rId264" tooltip="C-FIPC" display="https://wwwapps.tc.gc.ca/Saf-Sec-Sur/2/CCARCS-RIACC/ADetHis.aspx?id=1282886&amp;m=FIPC" xr:uid="{56AF3110-CFE5-8C47-AFF0-844D042C73D0}"/>
    <hyperlink ref="A266" r:id="rId265" tooltip="C-FIPC" display="https://wwwapps.tc.gc.ca/Saf-Sec-Sur/2/CCARCS-RIACC/ADetHis.aspx?id=1274249&amp;m=FIPC" xr:uid="{83B636E5-1802-AD4C-9B7C-DEEAEB307A91}"/>
    <hyperlink ref="A267" r:id="rId266" tooltip="C-FIPC" display="https://wwwapps.tc.gc.ca/Saf-Sec-Sur/2/CCARCS-RIACC/ADetHis.aspx?id=1274157&amp;m=FIPC" xr:uid="{91B53172-E4A6-044D-B02B-0D8F91D1D7C7}"/>
    <hyperlink ref="A268" r:id="rId267" tooltip="C-FCVD" display="https://wwwapps.tc.gc.ca/Saf-Sec-Sur/2/CCARCS-RIACC/ADetHis.aspx?id=1234964&amp;m=FCVD" xr:uid="{8B7E6EC1-1B6B-E24D-905E-A0ECC1C76DBC}"/>
    <hyperlink ref="A269" r:id="rId268" tooltip="C-FCVD" display="https://wwwapps.tc.gc.ca/Saf-Sec-Sur/2/CCARCS-RIACC/ADetHis.aspx?id=1221118&amp;m=FCVD" xr:uid="{567FCE43-09B4-8A48-92AD-A011F224B620}"/>
    <hyperlink ref="A270" r:id="rId269" tooltip="C-FCVD" display="https://wwwapps.tc.gc.ca/Saf-Sec-Sur/2/CCARCS-RIACC/ADetHis.aspx?id=1221116&amp;m=FCVD" xr:uid="{84EA2B9D-0BCB-6847-91A5-68A55F768CB0}"/>
    <hyperlink ref="A271" r:id="rId270" tooltip="C-FCLB" display="https://wwwapps.tc.gc.ca/Saf-Sec-Sur/2/CCARCS-RIACC/ADetHis.aspx?id=1269058&amp;m=FCLB" xr:uid="{F322D67A-A36F-1047-B100-6511528C8A5A}"/>
    <hyperlink ref="A272" r:id="rId271" tooltip="C-FCLB" display="https://wwwapps.tc.gc.ca/Saf-Sec-Sur/2/CCARCS-RIACC/ADetHis.aspx?id=1141950&amp;m=FCLB" xr:uid="{4B48BE1F-E907-9045-A08A-09CEA0B9BD9C}"/>
    <hyperlink ref="J1" r:id="rId272" tooltip="C-GLAI" display="https://wwwapps.tc.gc.ca/Saf-Sec-Sur/2/CCARCS-RIACC/ADet.aspx?id=19724&amp;hs=N&amp;l=" xr:uid="{BAF5D61D-C3D0-7C4F-9609-ECEF7BD22B91}"/>
    <hyperlink ref="J2" r:id="rId273" tooltip="C-FPCI" display="https://wwwapps.tc.gc.ca/Saf-Sec-Sur/2/CCARCS-RIACC/ADet.aspx?id=12829&amp;hs=N&amp;l=" xr:uid="{AAE9C615-2614-4B45-A333-E26A542621DC}"/>
    <hyperlink ref="J3" r:id="rId274" tooltip="C-GFSB" display="https://wwwapps.tc.gc.ca/Saf-Sec-Sur/2/CCARCS-RIACC/ADet.aspx?id=535557&amp;hs=N&amp;l=" xr:uid="{33113FD3-BC62-A841-94D6-59D01485AD30}"/>
    <hyperlink ref="J4" r:id="rId275" tooltip="C-GOHI" display="https://wwwapps.tc.gc.ca/Saf-Sec-Sur/2/CCARCS-RIACC/ADet.aspx?id=521645&amp;hs=N&amp;l=" xr:uid="{BDFF34D7-0B63-9F4A-A528-B090B7331C2A}"/>
    <hyperlink ref="J5" r:id="rId276" tooltip="C-GDUX" display="https://wwwapps.tc.gc.ca/Saf-Sec-Sur/2/CCARCS-RIACC/ADet.aspx?id=540727&amp;hs=N&amp;l=" xr:uid="{EC1AA7AC-58A5-5C4C-AD04-3355947F17C7}"/>
    <hyperlink ref="J6" r:id="rId277" tooltip="C-GOFS" display="https://wwwapps.tc.gc.ca/Saf-Sec-Sur/2/CCARCS-RIACC/ADet.aspx?id=536764&amp;hs=N&amp;l=" xr:uid="{05379A2E-BA41-4948-86A6-9EBA8FAD96A7}"/>
    <hyperlink ref="J7" r:id="rId278" tooltip="C-FYBG" display="https://wwwapps.tc.gc.ca/Saf-Sec-Sur/2/CCARCS-RIACC/ADet.aspx?id=537098&amp;hs=N&amp;l=" xr:uid="{1810DF3F-DD6C-1A48-A414-D0684B0D5AFE}"/>
    <hyperlink ref="J8" r:id="rId279" tooltip="C-GJFC" display="https://wwwapps.tc.gc.ca/Saf-Sec-Sur/2/CCARCS-RIACC/ADet.aspx?id=531540&amp;hs=N&amp;l=" xr:uid="{BF463130-C741-0B4B-B866-249CF2B12664}"/>
    <hyperlink ref="J9" r:id="rId280" tooltip="C-FRBI" display="https://wwwapps.tc.gc.ca/Saf-Sec-Sur/2/CCARCS-RIACC/ADet.aspx?id=540238&amp;hs=N&amp;l=" xr:uid="{0DC61DA7-DC97-D149-AF01-335EF2551EA7}"/>
    <hyperlink ref="J10" r:id="rId281" tooltip="C-GBII" display="https://wwwapps.tc.gc.ca/Saf-Sec-Sur/2/CCARCS-RIACC/ADet.aspx?id=540102&amp;hs=N&amp;l=" xr:uid="{6725B253-9519-1F49-9EE6-D8BD23F183DB}"/>
    <hyperlink ref="J11" r:id="rId282" tooltip="C-GDBJ" display="https://wwwapps.tc.gc.ca/Saf-Sec-Sur/2/CCARCS-RIACC/ADet.aspx?id=527094&amp;hs=N&amp;l=" xr:uid="{A60FFAD3-C97E-354B-8FEB-9A9F8E565751}"/>
    <hyperlink ref="J12" r:id="rId283" tooltip="C-FHZS" display="https://wwwapps.tc.gc.ca/Saf-Sec-Sur/2/CCARCS-RIACC/ADet.aspx?id=540153&amp;hs=N&amp;l=" xr:uid="{65895313-D064-7742-A4B2-A0208F019530}"/>
    <hyperlink ref="J13" r:id="rId284" tooltip="C-FWKQ" display="https://wwwapps.tc.gc.ca/Saf-Sec-Sur/2/CCARCS-RIACC/ADet.aspx?id=539912&amp;hs=N&amp;l=" xr:uid="{AF5E75EF-3896-854D-9CC2-1869A94E18EA}"/>
    <hyperlink ref="J14" r:id="rId285" tooltip="C-GDSH" display="https://wwwapps.tc.gc.ca/Saf-Sec-Sur/2/CCARCS-RIACC/ADet.aspx?id=539760&amp;hs=N&amp;l=" xr:uid="{8445C671-CC11-DD49-8F05-498CBCBE3CDB}"/>
    <hyperlink ref="J15" r:id="rId286" tooltip="C-GMRX" display="https://wwwapps.tc.gc.ca/Saf-Sec-Sur/2/CCARCS-RIACC/ADet.aspx?id=539755&amp;hs=N&amp;l=" xr:uid="{EFD3A802-2AEC-794B-8120-DAF426D151A1}"/>
    <hyperlink ref="J16" r:id="rId287" tooltip="C-GECT" display="https://wwwapps.tc.gc.ca/Saf-Sec-Sur/2/CCARCS-RIACC/ADet.aspx?id=515421&amp;hs=N&amp;l=" xr:uid="{2A8F578C-E3DE-6B43-A6F7-550BBA6E12C2}"/>
    <hyperlink ref="J17" r:id="rId288" tooltip="C-FMYW" display="https://wwwapps.tc.gc.ca/Saf-Sec-Sur/2/CCARCS-RIACC/ADet.aspx?id=539589&amp;hs=N&amp;l=" xr:uid="{250B5CD1-8E4B-0F48-8BB9-8784D468648D}"/>
    <hyperlink ref="J18" r:id="rId289" tooltip="C-GNGI" display="https://wwwapps.tc.gc.ca/Saf-Sec-Sur/2/CCARCS-RIACC/ADet.aspx?id=532938&amp;hs=N&amp;l=" xr:uid="{202B0C47-D823-B440-8FD3-417A30900370}"/>
    <hyperlink ref="J19" r:id="rId290" tooltip="C-FLWX" display="https://wwwapps.tc.gc.ca/Saf-Sec-Sur/2/CCARCS-RIACC/ADet.aspx?id=539649&amp;hs=N&amp;l=" xr:uid="{09A303A4-F7F6-354E-86EB-4A03801B2D3E}"/>
    <hyperlink ref="J20" r:id="rId291" tooltip="C-FJET" display="https://wwwapps.tc.gc.ca/Saf-Sec-Sur/2/CCARCS-RIACC/ADet.aspx?id=539594&amp;hs=N&amp;l=" xr:uid="{85B6EE0D-3C81-1442-ABCA-7D5033311DBD}"/>
    <hyperlink ref="J21" r:id="rId292" tooltip="C-FBDT" display="https://wwwapps.tc.gc.ca/Saf-Sec-Sur/2/CCARCS-RIACC/ADet.aspx?id=539131&amp;hs=N&amp;l=" xr:uid="{AC0E6DE4-FA18-E94A-9B00-578F7D434631}"/>
    <hyperlink ref="J22" r:id="rId293" tooltip="C-GPRY" display="https://wwwapps.tc.gc.ca/Saf-Sec-Sur/2/CCARCS-RIACC/ADet.aspx?id=539457&amp;hs=N&amp;l=" xr:uid="{B140194E-B7F7-954D-AB00-D03B3C9EDF45}"/>
    <hyperlink ref="J23" r:id="rId294" tooltip="C-FMHJ" display="https://wwwapps.tc.gc.ca/Saf-Sec-Sur/2/CCARCS-RIACC/ADet.aspx?id=539412&amp;hs=N&amp;l=" xr:uid="{A7BE6607-05E9-C448-9392-8E7E2DCED0CA}"/>
    <hyperlink ref="J24" r:id="rId295" tooltip="C-GJMM" display="https://wwwapps.tc.gc.ca/Saf-Sec-Sur/2/CCARCS-RIACC/ADet.aspx?id=538568&amp;hs=N&amp;l=" xr:uid="{D788B3A9-5C11-9146-85CE-09032499F5CD}"/>
    <hyperlink ref="J25" r:id="rId296" tooltip="C-GDTL" display="https://wwwapps.tc.gc.ca/Saf-Sec-Sur/2/CCARCS-RIACC/ADet.aspx?id=531145&amp;hs=N&amp;l=" xr:uid="{3EC33897-FD29-DC45-9182-17B8FCAC31F8}"/>
    <hyperlink ref="J26" r:id="rId297" tooltip="C-GFLA" display="https://wwwapps.tc.gc.ca/Saf-Sec-Sur/2/CCARCS-RIACC/ADet.aspx?id=27737&amp;hs=N&amp;l=" xr:uid="{B87B7854-91EF-5F4A-A0B2-C67F352DC3BB}"/>
    <hyperlink ref="J27" r:id="rId298" tooltip="C-FEBO" display="https://wwwapps.tc.gc.ca/Saf-Sec-Sur/2/CCARCS-RIACC/ADet.aspx?id=501312&amp;hs=N&amp;l=" xr:uid="{D51562CA-4FA5-6F4F-B760-5F3BC37B3445}"/>
    <hyperlink ref="J28" r:id="rId299" tooltip="C-GBTA" display="https://wwwapps.tc.gc.ca/Saf-Sec-Sur/2/CCARCS-RIACC/ADet.aspx?id=538785&amp;hs=N&amp;l=" xr:uid="{3B124CB7-E80E-C84F-84EC-BD70E3819782}"/>
    <hyperlink ref="J29" r:id="rId300" tooltip="C-GJVA" display="https://wwwapps.tc.gc.ca/Saf-Sec-Sur/2/CCARCS-RIACC/ADet.aspx?id=538833&amp;hs=N&amp;l=" xr:uid="{18807671-86D4-0B40-9F87-0938C0A1D40A}"/>
    <hyperlink ref="J30" r:id="rId301" tooltip="C-GAWP" display="https://wwwapps.tc.gc.ca/Saf-Sec-Sur/2/CCARCS-RIACC/ADet.aspx?id=27108&amp;hs=N&amp;l=" xr:uid="{778C6201-70F2-4745-880A-A66273B2E191}"/>
    <hyperlink ref="J31" r:id="rId302" tooltip="C-FLXR" display="https://wwwapps.tc.gc.ca/Saf-Sec-Sur/2/CCARCS-RIACC/ADet.aspx?id=538708&amp;hs=N&amp;l=" xr:uid="{2C8CB1CB-C505-B149-B991-47FCAE40517D}"/>
    <hyperlink ref="J32" r:id="rId303" tooltip="C-GKNW" display="https://wwwapps.tc.gc.ca/Saf-Sec-Sur/2/CCARCS-RIACC/ADet.aspx?id=532528&amp;hs=N&amp;l=" xr:uid="{6159EECD-3CB2-194E-AC41-34CD1815596B}"/>
    <hyperlink ref="J33" r:id="rId304" tooltip="C-GNWX" display="https://wwwapps.tc.gc.ca/Saf-Sec-Sur/2/CCARCS-RIACC/ADet.aspx?id=516572&amp;hs=N&amp;l=" xr:uid="{EEE9DD96-D358-D446-A86D-23534416A515}"/>
    <hyperlink ref="J34" r:id="rId305" tooltip="C-GNWZ" display="https://wwwapps.tc.gc.ca/Saf-Sec-Sur/2/CCARCS-RIACC/ADet.aspx?id=516623&amp;hs=N&amp;l=" xr:uid="{4F01C18F-2950-AB46-A365-386812000093}"/>
    <hyperlink ref="J35" r:id="rId306" tooltip="C-FSCO" display="https://wwwapps.tc.gc.ca/Saf-Sec-Sur/2/CCARCS-RIACC/ADet.aspx?id=538567&amp;hs=N&amp;l=" xr:uid="{AEC583BE-2AB3-9843-B89D-543B195E44D8}"/>
    <hyperlink ref="J36" r:id="rId307" tooltip="C-GAPD" display="https://wwwapps.tc.gc.ca/Saf-Sec-Sur/2/CCARCS-RIACC/ADet.aspx?id=538364&amp;hs=N&amp;l=" xr:uid="{739956BF-B781-8744-8770-8DBC1A5191A2}"/>
    <hyperlink ref="J37" r:id="rId308" tooltip="C-GJRG" display="https://wwwapps.tc.gc.ca/Saf-Sec-Sur/2/CCARCS-RIACC/ADet.aspx?id=519134&amp;hs=N&amp;l=" xr:uid="{12B9F68C-2C1F-2A4B-9AF5-D955EEBE107F}"/>
    <hyperlink ref="J38" r:id="rId309" tooltip="C-GBAP" display="https://wwwapps.tc.gc.ca/Saf-Sec-Sur/2/CCARCS-RIACC/ADet.aspx?id=533369&amp;hs=N&amp;l=" xr:uid="{DCB08171-A50A-F946-A5CB-CCACBF60E5F7}"/>
    <hyperlink ref="J39" r:id="rId310" tooltip="C-FWAF" display="https://wwwapps.tc.gc.ca/Saf-Sec-Sur/2/CCARCS-RIACC/ADet.aspx?id=538044&amp;hs=N&amp;l=" xr:uid="{A80F44E2-CEB2-3E4B-87EB-B8EBBD760FD8}"/>
    <hyperlink ref="J40" r:id="rId311" tooltip="C-GKAY" display="https://wwwapps.tc.gc.ca/Saf-Sec-Sur/2/CCARCS-RIACC/ADet.aspx?id=538006&amp;hs=N&amp;l=" xr:uid="{EC1C9B44-3B47-E845-9ED7-719BC1686714}"/>
    <hyperlink ref="J41" r:id="rId312" tooltip="C-FTRX" display="https://wwwapps.tc.gc.ca/Saf-Sec-Sur/2/CCARCS-RIACC/ADet.aspx?id=537927&amp;hs=N&amp;l=" xr:uid="{7595DF01-B97C-F949-A839-9A1A853A9866}"/>
    <hyperlink ref="J42" r:id="rId313" tooltip="C-GKAO" display="https://wwwapps.tc.gc.ca/Saf-Sec-Sur/2/CCARCS-RIACC/ADet.aspx?id=537907&amp;hs=N&amp;l=" xr:uid="{E2DCFE51-178A-D641-B7D0-4E4E7CF58B88}"/>
    <hyperlink ref="J43" r:id="rId314" tooltip="C-GMLF" display="https://wwwapps.tc.gc.ca/Saf-Sec-Sur/2/CCARCS-RIACC/ADet.aspx?id=513268&amp;hs=N&amp;l=" xr:uid="{476841B2-5971-FE47-B5B7-13F1693944CA}"/>
    <hyperlink ref="J44" r:id="rId315" tooltip="C-GKAU" display="https://wwwapps.tc.gc.ca/Saf-Sec-Sur/2/CCARCS-RIACC/ADet.aspx?id=537879&amp;hs=N&amp;l=" xr:uid="{8DDB6F93-0CF1-D646-95EF-1871C849F74D}"/>
    <hyperlink ref="J45" r:id="rId316" tooltip="C-FHGC" display="https://wwwapps.tc.gc.ca/Saf-Sec-Sur/2/CCARCS-RIACC/ADet.aspx?id=537802&amp;hs=N&amp;l=" xr:uid="{A6BA2293-643B-4E44-A71C-6FE0E57021EC}"/>
    <hyperlink ref="J46" r:id="rId317" tooltip="C-FOPE" display="https://wwwapps.tc.gc.ca/Saf-Sec-Sur/2/CCARCS-RIACC/ADet.aspx?id=537240&amp;hs=N&amp;l=" xr:uid="{18094D24-EE1C-154C-8CD3-4275F2B7CBCA}"/>
    <hyperlink ref="J47" r:id="rId318" tooltip="C-FALD" display="https://wwwapps.tc.gc.ca/Saf-Sec-Sur/2/CCARCS-RIACC/ADet.aspx?id=535866&amp;hs=N&amp;l=" xr:uid="{5CB5093B-033E-5445-92C6-4FD6CAC38CF6}"/>
    <hyperlink ref="J48" r:id="rId319" tooltip="C-FABN" display="https://wwwapps.tc.gc.ca/Saf-Sec-Sur/2/CCARCS-RIACC/ADet.aspx?id=536790&amp;hs=N&amp;l=" xr:uid="{7951D38F-01B5-7F44-BFA4-1031EC3B6EF7}"/>
    <hyperlink ref="J49" r:id="rId320" tooltip="C-GJVM" display="https://wwwapps.tc.gc.ca/Saf-Sec-Sur/2/CCARCS-RIACC/ADet.aspx?id=531130&amp;hs=N&amp;l=" xr:uid="{0836E2E4-2D97-BB4D-9E03-0C6B0C882E5B}"/>
    <hyperlink ref="J50" r:id="rId321" tooltip="C-GKIX" display="https://wwwapps.tc.gc.ca/Saf-Sec-Sur/2/CCARCS-RIACC/ADet.aspx?id=536251&amp;hs=N&amp;l=" xr:uid="{5D562BEC-66C7-8449-874D-6C19A60C1C2B}"/>
    <hyperlink ref="J51" r:id="rId322" tooltip="C-GMSX" display="https://wwwapps.tc.gc.ca/Saf-Sec-Sur/2/CCARCS-RIACC/ADet.aspx?id=530785&amp;hs=N&amp;l=" xr:uid="{D5F5C2CD-AD96-1B44-8A80-35C0E53D38B8}"/>
    <hyperlink ref="J52" r:id="rId323" tooltip="C-FANJ" display="https://wwwapps.tc.gc.ca/Saf-Sec-Sur/2/CCARCS-RIACC/ADet.aspx?id=535283&amp;hs=N&amp;l=" xr:uid="{1A5FC068-3053-ED4C-B0DA-E945FEE7B9E3}"/>
    <hyperlink ref="J53" r:id="rId324" tooltip="C-GSMJ" display="https://wwwapps.tc.gc.ca/Saf-Sec-Sur/2/CCARCS-RIACC/ADet.aspx?id=535912&amp;hs=N&amp;l=" xr:uid="{BDE2F8AF-E9AC-7C4B-B169-620590BF4481}"/>
    <hyperlink ref="J54" r:id="rId325" tooltip="C-FMAO" display="https://wwwapps.tc.gc.ca/Saf-Sec-Sur/2/CCARCS-RIACC/ADet.aspx?id=524185&amp;hs=N&amp;l=" xr:uid="{1BDF584A-7B42-5A4C-8689-A95E48525605}"/>
    <hyperlink ref="J55" r:id="rId326" tooltip="C-FUAM" display="https://wwwapps.tc.gc.ca/Saf-Sec-Sur/2/CCARCS-RIACC/ADet.aspx?id=524148&amp;hs=N&amp;l=" xr:uid="{E6F44A85-8B1A-7E41-A45C-C7F40D947480}"/>
    <hyperlink ref="J56" r:id="rId327" tooltip="C-FKPA" display="https://wwwapps.tc.gc.ca/Saf-Sec-Sur/2/CCARCS-RIACC/ADet.aspx?id=10964&amp;hs=N&amp;l=" xr:uid="{64BAF925-17CC-7B4C-B01F-CD68B962501A}"/>
    <hyperlink ref="J57" r:id="rId328" tooltip="C-FKGO" display="https://wwwapps.tc.gc.ca/Saf-Sec-Sur/2/CCARCS-RIACC/ADet.aspx?id=534818&amp;hs=N&amp;l=" xr:uid="{436476DD-75AA-D845-92E2-0173868F77EA}"/>
    <hyperlink ref="J58" r:id="rId329" tooltip="C-GODE" display="https://wwwapps.tc.gc.ca/Saf-Sec-Sur/2/CCARCS-RIACC/ADet.aspx?id=509686&amp;hs=N&amp;l=" xr:uid="{862FF150-E794-404C-893B-4CDDC1469C27}"/>
    <hyperlink ref="J59" r:id="rId330" tooltip="C-FKAB" display="https://wwwapps.tc.gc.ca/Saf-Sec-Sur/2/CCARCS-RIACC/ADet.aspx?id=535077&amp;hs=N&amp;l=" xr:uid="{0FFEA985-E33D-464B-ABAB-FF5A735F1625}"/>
    <hyperlink ref="J60" r:id="rId331" tooltip="C-FHAB" display="https://wwwapps.tc.gc.ca/Saf-Sec-Sur/2/CCARCS-RIACC/ADet.aspx?id=535064&amp;hs=N&amp;l=" xr:uid="{5112057A-2067-494E-94C5-7B8F0CF7F5CC}"/>
    <hyperlink ref="J61" r:id="rId332" tooltip="C-GYBX" display="https://wwwapps.tc.gc.ca/Saf-Sec-Sur/2/CCARCS-RIACC/ADet.aspx?id=533234&amp;hs=N&amp;l=" xr:uid="{09EB744C-21D7-7A42-835D-543BCD0A577B}"/>
    <hyperlink ref="J62" r:id="rId333" tooltip="C-GSAG" display="https://wwwapps.tc.gc.ca/Saf-Sec-Sur/2/CCARCS-RIACC/ADet.aspx?id=508436&amp;hs=N&amp;l=" xr:uid="{284F16AD-AB82-4541-B262-0F44584C612C}"/>
    <hyperlink ref="J63" r:id="rId334" tooltip="C-GMXD" display="https://wwwapps.tc.gc.ca/Saf-Sec-Sur/2/CCARCS-RIACC/ADet.aspx?id=534275&amp;hs=N&amp;l=" xr:uid="{2D939CDF-25A1-9E4D-A92F-ACF6F325216F}"/>
    <hyperlink ref="J64" r:id="rId335" tooltip="C-GIOX" display="https://wwwapps.tc.gc.ca/Saf-Sec-Sur/2/CCARCS-RIACC/ADet.aspx?id=533176&amp;hs=N&amp;l=" xr:uid="{5E0C6953-28C2-8640-9D59-392323D888E1}"/>
    <hyperlink ref="J65" r:id="rId336" tooltip="C-GXCR" display="https://wwwapps.tc.gc.ca/Saf-Sec-Sur/2/CCARCS-RIACC/ADet.aspx?id=27325&amp;hs=N&amp;l=" xr:uid="{53B9AC48-CEB9-E84D-A19A-6CDBD69FA1D1}"/>
    <hyperlink ref="J66" r:id="rId337" tooltip="C-FIPN" display="https://wwwapps.tc.gc.ca/Saf-Sec-Sur/2/CCARCS-RIACC/ADet.aspx?id=532926&amp;hs=N&amp;l=" xr:uid="{AE404F7F-4AA5-1443-B5F9-B14FB6213FDD}"/>
    <hyperlink ref="J67" r:id="rId338" tooltip="C-FVEK" display="https://wwwapps.tc.gc.ca/Saf-Sec-Sur/2/CCARCS-RIACC/ADet.aspx?id=534313&amp;hs=N&amp;l=" xr:uid="{DD641AFA-3DDA-254C-9FB9-EA0DD9B2C89B}"/>
    <hyperlink ref="J68" r:id="rId339" tooltip="C-FGFL" display="https://wwwapps.tc.gc.ca/Saf-Sec-Sur/2/CCARCS-RIACC/ADet.aspx?id=4542&amp;hs=N&amp;l=" xr:uid="{15D702E2-C58F-B54F-9763-BD8031FEB307}"/>
    <hyperlink ref="J69" r:id="rId340" tooltip="C-GJAW" display="https://wwwapps.tc.gc.ca/Saf-Sec-Sur/2/CCARCS-RIACC/ADet.aspx?id=530317&amp;hs=N&amp;l=" xr:uid="{EBF68AAF-29B9-F546-BF06-A67A7B28B515}"/>
    <hyperlink ref="J70" r:id="rId341" tooltip="C-FYZS" display="https://wwwapps.tc.gc.ca/Saf-Sec-Sur/2/CCARCS-RIACC/ADet.aspx?id=24419&amp;hs=N&amp;l=" xr:uid="{B6A9C48E-B377-8645-BF4D-4D6B978BE178}"/>
    <hyperlink ref="J71" r:id="rId342" tooltip="C-FYUT" display="https://wwwapps.tc.gc.ca/Saf-Sec-Sur/2/CCARCS-RIACC/ADet.aspx?id=27442&amp;hs=N&amp;l=" xr:uid="{8660CAF1-1ACB-D841-A7AB-164DEE277F9C}"/>
    <hyperlink ref="J72" r:id="rId343" tooltip="C-FYMN" display="https://wwwapps.tc.gc.ca/Saf-Sec-Sur/2/CCARCS-RIACC/ADet.aspx?id=533321&amp;hs=N&amp;l=" xr:uid="{0FAFC82C-3376-A043-8D63-F9A62485B61A}"/>
    <hyperlink ref="J73" r:id="rId344" tooltip="C-GXTB" display="https://wwwapps.tc.gc.ca/Saf-Sec-Sur/2/CCARCS-RIACC/ADet.aspx?id=531959&amp;hs=N&amp;l=" xr:uid="{E25C3033-3657-3544-8FA9-6D03A07629DA}"/>
    <hyperlink ref="J74" r:id="rId345" tooltip="C-GTAI" display="https://wwwapps.tc.gc.ca/Saf-Sec-Sur/2/CCARCS-RIACC/ADet.aspx?id=532644&amp;hs=N&amp;l=" xr:uid="{3B835A93-95B8-2F4F-8593-E064BFFE8650}"/>
    <hyperlink ref="J75" r:id="rId346" tooltip="C-FPNG" display="https://wwwapps.tc.gc.ca/Saf-Sec-Sur/2/CCARCS-RIACC/ADet.aspx?id=517893&amp;hs=N&amp;l=" xr:uid="{D32142DB-DB29-9045-8630-FBA3968739F1}"/>
    <hyperlink ref="J76" r:id="rId347" tooltip="C-FWAL" display="https://wwwapps.tc.gc.ca/Saf-Sec-Sur/2/CCARCS-RIACC/ADet.aspx?id=531356&amp;hs=N&amp;l=" xr:uid="{D6A7FBB2-95B6-1B4A-8826-9803BA11D93D}"/>
    <hyperlink ref="J77" r:id="rId348" tooltip="C-FYRH" display="https://wwwapps.tc.gc.ca/Saf-Sec-Sur/2/CCARCS-RIACC/ADet.aspx?id=531156&amp;hs=N&amp;l=" xr:uid="{0DA74C3C-24FF-524E-BA81-CA86B17E6120}"/>
    <hyperlink ref="J78" r:id="rId349" tooltip="C-GBMF" display="https://wwwapps.tc.gc.ca/Saf-Sec-Sur/2/CCARCS-RIACC/ADet.aspx?id=521117&amp;hs=N&amp;l=" xr:uid="{D68CE3BA-1289-B94B-97AE-586F9FE04804}"/>
    <hyperlink ref="J79" r:id="rId350" tooltip="C-FPCL" display="https://wwwapps.tc.gc.ca/Saf-Sec-Sur/2/CCARCS-RIACC/ADet.aspx?id=10496&amp;hs=N&amp;l=" xr:uid="{7CA9A7C9-41E9-CC46-BEC5-D68E7DBE449E}"/>
    <hyperlink ref="J80" r:id="rId351" tooltip="C-GRDC" display="https://wwwapps.tc.gc.ca/Saf-Sec-Sur/2/CCARCS-RIACC/ADet.aspx?id=504053&amp;hs=N&amp;l=" xr:uid="{C405C440-D06B-424D-94E1-AC12C86E6181}"/>
    <hyperlink ref="J81" r:id="rId352" tooltip="C-FPCN" display="https://wwwapps.tc.gc.ca/Saf-Sec-Sur/2/CCARCS-RIACC/ADet.aspx?id=508406&amp;hs=N&amp;l=" xr:uid="{1F2E71B3-82D7-1245-BF5F-97E2C796CE03}"/>
    <hyperlink ref="J82" r:id="rId353" tooltip="C-FXAB" display="https://wwwapps.tc.gc.ca/Saf-Sec-Sur/2/CCARCS-RIACC/ADet.aspx?id=27433&amp;hs=N&amp;l=" xr:uid="{DA291FF5-263E-D949-9630-A8A8AE32F664}"/>
    <hyperlink ref="J83" r:id="rId354" tooltip="C-GNQZ" display="https://wwwapps.tc.gc.ca/Saf-Sec-Sur/2/CCARCS-RIACC/ADet.aspx?id=522232&amp;hs=N&amp;l=" xr:uid="{FB353D10-E0F9-E741-8E6A-C66C3D88219F}"/>
    <hyperlink ref="J84" r:id="rId355" tooltip="C-GMQZ" display="https://wwwapps.tc.gc.ca/Saf-Sec-Sur/2/CCARCS-RIACC/ADet.aspx?id=27651&amp;hs=N&amp;l=" xr:uid="{016BC2DB-45C1-B845-88A2-F056422D9C83}"/>
    <hyperlink ref="J85" r:id="rId356" tooltip="C-GBJV" display="https://wwwapps.tc.gc.ca/Saf-Sec-Sur/2/CCARCS-RIACC/ADet.aspx?id=8770&amp;hs=N&amp;l=" xr:uid="{79B095BC-EF88-4644-BF7F-511A06E83370}"/>
    <hyperlink ref="J86" r:id="rId357" tooltip="C-GFKA" display="https://wwwapps.tc.gc.ca/Saf-Sec-Sur/2/CCARCS-RIACC/ADet.aspx?id=27039&amp;hs=N&amp;l=" xr:uid="{6B8B2E55-B35A-2846-9BDF-C592501FF882}"/>
    <hyperlink ref="J87" r:id="rId358" tooltip="C-FKPI" display="https://wwwapps.tc.gc.ca/Saf-Sec-Sur/2/CCARCS-RIACC/ADet.aspx?id=27636&amp;hs=N&amp;l=" xr:uid="{99D371A7-F4D3-C145-87F9-F65013764993}"/>
    <hyperlink ref="J88" r:id="rId359" tooltip="C-GBTL" display="https://wwwapps.tc.gc.ca/Saf-Sec-Sur/2/CCARCS-RIACC/ADet.aspx?id=27071&amp;hs=N&amp;l=" xr:uid="{5E846E04-D8C5-0541-BC0A-FE6272E2624D}"/>
    <hyperlink ref="J89" r:id="rId360" tooltip="C-FSFI" display="https://wwwapps.tc.gc.ca/Saf-Sec-Sur/2/CCARCS-RIACC/ADet.aspx?id=529464&amp;hs=N&amp;l=" xr:uid="{ED575CC2-5865-2F4D-B5A6-6A57B828BC7E}"/>
    <hyperlink ref="J90" r:id="rId361" tooltip="C-FKPX" display="https://wwwapps.tc.gc.ca/Saf-Sec-Sur/2/CCARCS-RIACC/ADet.aspx?id=500149&amp;hs=N&amp;l=" xr:uid="{20669686-B6E1-DF49-A924-501DBC3AFBEB}"/>
    <hyperlink ref="J91" r:id="rId362" tooltip="C-FIPC" display="https://wwwapps.tc.gc.ca/Saf-Sec-Sur/2/CCARCS-RIACC/ADet.aspx?id=528091&amp;hs=N&amp;l=" xr:uid="{6BC862B5-531C-1449-BB56-C75DF7690C9F}"/>
    <hyperlink ref="J92" r:id="rId363" tooltip="C-GICR" display="https://wwwapps.tc.gc.ca/Saf-Sec-Sur/2/CCARCS-RIACC/ADet.aspx?id=27888&amp;hs=N&amp;l=" xr:uid="{058D87C5-85E4-914D-86BB-8F1688BDA550}"/>
    <hyperlink ref="J93" r:id="rId364" tooltip="C-GVKC" display="https://wwwapps.tc.gc.ca/Saf-Sec-Sur/2/CCARCS-RIACC/ADet.aspx?id=27588&amp;hs=N&amp;l=" xr:uid="{BAF57672-AD7B-F942-BE99-AEF8F388ED68}"/>
    <hyperlink ref="J94" r:id="rId365" tooltip="C-FCLB" display="https://wwwapps.tc.gc.ca/Saf-Sec-Sur/2/CCARCS-RIACC/ADet.aspx?id=520186&amp;hs=N&amp;l=" xr:uid="{B909F8BA-D70D-DF42-B4CA-F4C9DB855A0E}"/>
    <hyperlink ref="J95" r:id="rId366" tooltip="C-FVPK" display="https://wwwapps.tc.gc.ca/Saf-Sec-Sur/2/CCARCS-RIACC/ADet.aspx?id=28252&amp;hs=N&amp;l=" xr:uid="{0597537E-B9EF-5245-BD25-D28A6A4390E9}"/>
    <hyperlink ref="J96" r:id="rId367" tooltip="C-FHCE" display="https://wwwapps.tc.gc.ca/Saf-Sec-Sur/2/CCARCS-RIACC/ADet.aspx?id=527715&amp;hs=N&amp;l=" xr:uid="{EE5CF76F-E20E-CE41-B11D-FE357E4FD419}"/>
    <hyperlink ref="J97" r:id="rId368" tooltip="C-GHPF" display="https://wwwapps.tc.gc.ca/Saf-Sec-Sur/2/CCARCS-RIACC/ADet.aspx?id=27903&amp;hs=N&amp;l=" xr:uid="{E1DFF5DF-F1D5-B347-B1F8-F59A0EAF9C6F}"/>
    <hyperlink ref="J98" r:id="rId369" tooltip="C-FKGE" display="https://wwwapps.tc.gc.ca/Saf-Sec-Sur/2/CCARCS-RIACC/ADet.aspx?id=526922&amp;hs=N&amp;l=" xr:uid="{B725CAFF-D47C-FE4D-9BC9-72142E0D59A0}"/>
    <hyperlink ref="J99" r:id="rId370" tooltip="C-GPSQ" display="https://wwwapps.tc.gc.ca/Saf-Sec-Sur/2/CCARCS-RIACC/ADet.aspx?id=509532&amp;hs=N&amp;l=" xr:uid="{7665AB1D-9422-144F-99F4-55A14DF53548}"/>
    <hyperlink ref="J100" r:id="rId371" tooltip="C-FCVD" display="https://wwwapps.tc.gc.ca/Saf-Sec-Sur/2/CCARCS-RIACC/ADet.aspx?id=526020&amp;hs=N&amp;l=" xr:uid="{21364DCE-4936-E441-B436-A68CF09D6378}"/>
    <hyperlink ref="J101" r:id="rId372" tooltip="C-GMPW" display="https://wwwapps.tc.gc.ca/Saf-Sec-Sur/2/CCARCS-RIACC/ADet.aspx?id=525980&amp;hs=N&amp;l=" xr:uid="{159AD5D7-44AF-E343-8185-8AF6AE6256EC}"/>
    <hyperlink ref="J102" r:id="rId373" tooltip="C-FOPD" display="https://wwwapps.tc.gc.ca/Saf-Sec-Sur/2/CCARCS-RIACC/ADet.aspx?id=525915&amp;hs=N&amp;l=" xr:uid="{DC0F3A1B-BEA3-6941-A23A-21E2BDAD0122}"/>
    <hyperlink ref="J103" r:id="rId374" tooltip="C-GKUC" display="https://wwwapps.tc.gc.ca/Saf-Sec-Sur/2/CCARCS-RIACC/ADet.aspx?id=524188&amp;hs=N&amp;l=" xr:uid="{CBCC11F9-6D97-3F47-A039-C96056725EFD}"/>
    <hyperlink ref="J104" r:id="rId375" tooltip="C-GVDG" display="https://wwwapps.tc.gc.ca/Saf-Sec-Sur/2/CCARCS-RIACC/ADet.aspx?id=27941&amp;hs=N&amp;l=" xr:uid="{A7380D48-7AAE-FB45-9C39-8317E7C06F44}"/>
    <hyperlink ref="J105" r:id="rId376" tooltip="C-GMPB" display="https://wwwapps.tc.gc.ca/Saf-Sec-Sur/2/CCARCS-RIACC/ADet.aspx?id=523561&amp;hs=N&amp;l=" xr:uid="{699C0BB6-84AD-6A4D-A2F2-FB14C86FB211}"/>
    <hyperlink ref="J106" r:id="rId377" tooltip="C-GMPQ" display="https://wwwapps.tc.gc.ca/Saf-Sec-Sur/2/CCARCS-RIACC/ADet.aspx?id=523197&amp;hs=N&amp;l=" xr:uid="{5A93EA0F-280D-1849-9481-089F087AEEE2}"/>
    <hyperlink ref="J107" r:id="rId378" tooltip="C-GWEL" display="https://wwwapps.tc.gc.ca/Saf-Sec-Sur/2/CCARCS-RIACC/ADet.aspx?id=522814&amp;hs=N&amp;l=" xr:uid="{F7C01877-751E-B846-88BF-82836A3CD996}"/>
    <hyperlink ref="J108" r:id="rId379" tooltip="C-GMPA" display="https://wwwapps.tc.gc.ca/Saf-Sec-Sur/2/CCARCS-RIACC/ADet.aspx?id=520941&amp;hs=N&amp;l=" xr:uid="{1C72F47B-7B53-B04B-999D-54A1E481AB46}"/>
    <hyperlink ref="J109" r:id="rId380" tooltip="C-GRXR" display="https://wwwapps.tc.gc.ca/Saf-Sec-Sur/2/CCARCS-RIACC/ADet.aspx?id=520141&amp;hs=N&amp;l=" xr:uid="{46698567-2676-7E4F-883F-A2A21A135D97}"/>
    <hyperlink ref="J110" r:id="rId381" tooltip="C-GRXO" display="https://wwwapps.tc.gc.ca/Saf-Sec-Sur/2/CCARCS-RIACC/ADet.aspx?id=520164&amp;hs=N&amp;l=" xr:uid="{97DB177E-717F-524A-B60D-0123E42FF694}"/>
    <hyperlink ref="J111" r:id="rId382" tooltip="C-GRXN" display="https://wwwapps.tc.gc.ca/Saf-Sec-Sur/2/CCARCS-RIACC/ADet.aspx?id=519899&amp;hs=N&amp;l=" xr:uid="{1E576C1C-E285-A143-9871-CF6685D4190A}"/>
    <hyperlink ref="J112" r:id="rId383" tooltip="C-FMPA" display="https://wwwapps.tc.gc.ca/Saf-Sec-Sur/2/CCARCS-RIACC/ADet.aspx?id=519829&amp;hs=N&amp;l=" xr:uid="{E9096AE0-BF3C-1C42-9B5E-CDDC344E6B24}"/>
    <hyperlink ref="J113" r:id="rId384" tooltip="C-GMPO" display="https://wwwapps.tc.gc.ca/Saf-Sec-Sur/2/CCARCS-RIACC/ADet.aspx?id=519462&amp;hs=N&amp;l=" xr:uid="{20559E37-43E1-E741-BBB1-BEDF1A97174E}"/>
    <hyperlink ref="J114" r:id="rId385" tooltip="C-GMPV" display="https://wwwapps.tc.gc.ca/Saf-Sec-Sur/2/CCARCS-RIACC/ADet.aspx?id=518507&amp;hs=N&amp;l=" xr:uid="{69D9FAA2-01E2-BE43-9241-4C5E99BA80B2}"/>
    <hyperlink ref="J115" r:id="rId386" tooltip="C-GRXM" display="https://wwwapps.tc.gc.ca/Saf-Sec-Sur/2/CCARCS-RIACC/ADet.aspx?id=517608&amp;hs=N&amp;l=" xr:uid="{B869E22B-1AA2-964D-9EB6-871FB6732082}"/>
    <hyperlink ref="J116" r:id="rId387" tooltip="C-GRXH" display="https://wwwapps.tc.gc.ca/Saf-Sec-Sur/2/CCARCS-RIACC/ADet.aspx?id=517576&amp;hs=N&amp;l=" xr:uid="{52857EA8-DF34-F04D-A87F-774EA0DD2B18}"/>
    <hyperlink ref="J117" r:id="rId388" tooltip="C-FTAB" display="https://wwwapps.tc.gc.ca/Saf-Sec-Sur/2/CCARCS-RIACC/ADet.aspx?id=6157&amp;hs=N&amp;l=" xr:uid="{060EDC24-6594-A54E-933D-F65428885B56}"/>
    <hyperlink ref="J118" r:id="rId389" tooltip="C-FGMQ" display="https://wwwapps.tc.gc.ca/Saf-Sec-Sur/2/CCARCS-RIACC/ADet.aspx?id=516938&amp;hs=N&amp;l=" xr:uid="{9FBB129C-CAC9-BB43-8792-B06DFEFE7C92}"/>
    <hyperlink ref="J119" r:id="rId390" tooltip="C-GRXE" display="https://wwwapps.tc.gc.ca/Saf-Sec-Sur/2/CCARCS-RIACC/ADet.aspx?id=516855&amp;hs=N&amp;l=" xr:uid="{EF442031-1421-A343-B13E-66D0CD2B1CB4}"/>
    <hyperlink ref="J120" r:id="rId391" tooltip="C-GRXD" display="https://wwwapps.tc.gc.ca/Saf-Sec-Sur/2/CCARCS-RIACC/ADet.aspx?id=516721&amp;hs=N&amp;l=" xr:uid="{F2AD82B9-2F1D-0F45-8CF5-9D649DE55495}"/>
    <hyperlink ref="J121" r:id="rId392" tooltip="C-FMPK" display="https://wwwapps.tc.gc.ca/Saf-Sec-Sur/2/CCARCS-RIACC/ADet.aspx?id=516698&amp;hs=N&amp;l=" xr:uid="{A65D7258-0B51-FF42-A6A3-1403048181FA}"/>
    <hyperlink ref="J122" r:id="rId393" tooltip="C-GRXB" display="https://wwwapps.tc.gc.ca/Saf-Sec-Sur/2/CCARCS-RIACC/ADet.aspx?id=516629&amp;hs=N&amp;l=" xr:uid="{EBF93BF2-9BB4-0744-BC3A-06F91319187C}"/>
    <hyperlink ref="J123" r:id="rId394" tooltip="C-GMPE" display="https://wwwapps.tc.gc.ca/Saf-Sec-Sur/2/CCARCS-RIACC/ADet.aspx?id=516270&amp;hs=N&amp;l=" xr:uid="{8C1E6ACA-9120-634A-B602-4940BDB347F7}"/>
    <hyperlink ref="J124" r:id="rId395" tooltip="C-GMPX" display="https://wwwapps.tc.gc.ca/Saf-Sec-Sur/2/CCARCS-RIACC/ADet.aspx?id=516208&amp;hs=N&amp;l=" xr:uid="{634BAB9C-5ACF-4449-A9FA-1E915ECF9F1C}"/>
    <hyperlink ref="J125" r:id="rId396" tooltip="C-GMPM" display="https://wwwapps.tc.gc.ca/Saf-Sec-Sur/2/CCARCS-RIACC/ADet.aspx?id=515308&amp;hs=N&amp;l=" xr:uid="{D6DB074C-BA15-B046-AB98-629E6E38C950}"/>
    <hyperlink ref="J126" r:id="rId397" tooltip="C-GFLN" display="https://wwwapps.tc.gc.ca/Saf-Sec-Sur/2/CCARCS-RIACC/ADet.aspx?id=511584&amp;hs=N&amp;l=" xr:uid="{CD5B1694-808E-454C-9FE8-105C5C9DB94B}"/>
    <hyperlink ref="J127" r:id="rId398" tooltip="C-FMPF" display="https://wwwapps.tc.gc.ca/Saf-Sec-Sur/2/CCARCS-RIACC/ADet.aspx?id=511006&amp;hs=N&amp;l=" xr:uid="{B430D1F2-7561-A046-AAB5-C95C37AADD7A}"/>
    <hyperlink ref="J128" r:id="rId399" tooltip="C-GMPP" display="https://wwwapps.tc.gc.ca/Saf-Sec-Sur/2/CCARCS-RIACC/ADet.aspx?id=26416&amp;hs=N&amp;l=" xr:uid="{34022708-D76C-F54D-9C97-188E97C171DC}"/>
    <hyperlink ref="J129" r:id="rId400" tooltip="C-GMPY" display="https://wwwapps.tc.gc.ca/Saf-Sec-Sur/2/CCARCS-RIACC/ADet.aspx?id=25794&amp;hs=N&amp;l=" xr:uid="{A455983A-D9BA-E047-86A7-7077CE7BDAC6}"/>
    <hyperlink ref="J130" r:id="rId401" tooltip="C-FMPB" display="https://wwwapps.tc.gc.ca/Saf-Sec-Sur/2/CCARCS-RIACC/ADet.aspx?id=27611&amp;hs=N&amp;l=" xr:uid="{89D1AE70-D135-274B-86E2-B7A3A3FA4B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Sheet6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 Jaiswal</dc:creator>
  <cp:lastModifiedBy>Nipun Jaiswal</cp:lastModifiedBy>
  <dcterms:created xsi:type="dcterms:W3CDTF">2026-05-19T18:54:14Z</dcterms:created>
  <dcterms:modified xsi:type="dcterms:W3CDTF">2026-05-20T16:02:11Z</dcterms:modified>
</cp:coreProperties>
</file>